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0fad86cea2e7b162/Finance/Personal Finances/"/>
    </mc:Choice>
  </mc:AlternateContent>
  <xr:revisionPtr revIDLastSave="1201" documentId="8_{59C64F6A-915D-4103-A3C5-DB7244E56B0C}" xr6:coauthVersionLast="47" xr6:coauthVersionMax="47" xr10:uidLastSave="{070E9C7F-D8B1-4848-A663-60386AE112D3}"/>
  <bookViews>
    <workbookView xWindow="28680" yWindow="-105" windowWidth="29040" windowHeight="15720" xr2:uid="{00000000-000D-0000-FFFF-FFFF00000000}"/>
  </bookViews>
  <sheets>
    <sheet name="DashBoard" sheetId="1" r:id="rId1"/>
    <sheet name="Transactions" sheetId="2" r:id="rId2"/>
    <sheet name="Budget" sheetId="5" r:id="rId3"/>
    <sheet name="Subscriptions" sheetId="6" r:id="rId4"/>
    <sheet name="Monthly Summary Sheet" sheetId="8" r:id="rId5"/>
    <sheet name="Charts Sheet" sheetId="7" r:id="rId6"/>
  </sheets>
  <definedNames>
    <definedName name="_xlnm._FilterDatabase" localSheetId="0" hidden="1">DashBoard!$C$15:$C$25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8" i="1" l="1"/>
  <c r="V29" i="1"/>
  <c r="V27" i="1"/>
  <c r="E2" i="5"/>
  <c r="U27" i="1" s="1"/>
  <c r="E3" i="8"/>
  <c r="C3" i="8"/>
  <c r="B3" i="8"/>
  <c r="D3" i="8" s="1"/>
  <c r="E2" i="8"/>
  <c r="C2" i="8"/>
  <c r="B2" i="8"/>
  <c r="D2" i="8" s="1"/>
  <c r="C10" i="1"/>
  <c r="D15" i="1"/>
  <c r="G6" i="6"/>
  <c r="G7" i="6"/>
  <c r="G8" i="6"/>
  <c r="G2" i="6"/>
  <c r="J7" i="6"/>
  <c r="J6" i="6"/>
  <c r="J5" i="6"/>
  <c r="G3" i="6"/>
  <c r="G4" i="6"/>
  <c r="G5" i="6"/>
  <c r="D24" i="1"/>
  <c r="C25" i="1"/>
  <c r="D25" i="1"/>
  <c r="F7" i="6"/>
  <c r="F8" i="6"/>
  <c r="F6" i="6"/>
  <c r="F3" i="6"/>
  <c r="F4" i="6"/>
  <c r="F5" i="6"/>
  <c r="F2" i="6"/>
  <c r="D23" i="1"/>
  <c r="C23" i="1"/>
  <c r="F2" i="8" l="1"/>
  <c r="G2" i="8" s="1"/>
  <c r="H2" i="8" s="1"/>
  <c r="I2" i="8" s="1"/>
  <c r="F3" i="8"/>
  <c r="G3" i="8" s="1"/>
  <c r="H3" i="8" s="1"/>
  <c r="I3" i="8" s="1"/>
  <c r="C24" i="1"/>
  <c r="F25" i="1"/>
  <c r="E25" i="1"/>
  <c r="G23" i="1"/>
  <c r="E23" i="1"/>
  <c r="F23" i="1"/>
  <c r="E24" i="1" l="1"/>
  <c r="F24" i="1"/>
  <c r="G24" i="1"/>
  <c r="E3" i="5"/>
  <c r="U28" i="1" s="1"/>
  <c r="E4" i="5"/>
  <c r="U29" i="1" s="1"/>
  <c r="D29" i="1"/>
  <c r="D31" i="1" s="1"/>
  <c r="I7" i="1"/>
  <c r="A7" i="1"/>
  <c r="C22" i="1"/>
  <c r="C21" i="1"/>
  <c r="C20" i="1"/>
  <c r="C19" i="1"/>
  <c r="C18" i="1"/>
  <c r="C17" i="1"/>
  <c r="C16" i="1"/>
  <c r="C15" i="1"/>
  <c r="D20" i="1"/>
  <c r="D10" i="1"/>
  <c r="F10" i="1" s="1"/>
  <c r="D22" i="1"/>
  <c r="D21" i="1"/>
  <c r="D19" i="1"/>
  <c r="D18" i="1"/>
  <c r="D17" i="1"/>
  <c r="D16" i="1"/>
  <c r="D11" i="1"/>
  <c r="C11" i="1"/>
  <c r="M10" i="1" l="1" a="1"/>
  <c r="M10" i="1" s="1"/>
  <c r="C26" i="1"/>
  <c r="T4" i="1" s="1"/>
  <c r="D26" i="1"/>
  <c r="A4" i="7" a="1"/>
  <c r="A4" i="7" s="1"/>
  <c r="E22" i="1"/>
  <c r="G11" i="1"/>
  <c r="D30" i="1"/>
  <c r="D32" i="1"/>
  <c r="G18" i="1"/>
  <c r="E10" i="1"/>
  <c r="G19" i="1"/>
  <c r="G15" i="1"/>
  <c r="G21" i="1"/>
  <c r="G20" i="1"/>
  <c r="G10" i="1"/>
  <c r="G16" i="1"/>
  <c r="G22" i="1"/>
  <c r="G17" i="1"/>
  <c r="G25" i="1"/>
  <c r="E20" i="1"/>
  <c r="F20" i="1"/>
  <c r="F16" i="1"/>
  <c r="F17" i="1"/>
  <c r="E19" i="1"/>
  <c r="F18" i="1"/>
  <c r="F11" i="1"/>
  <c r="E21" i="1"/>
  <c r="F22" i="1"/>
  <c r="F19" i="1"/>
  <c r="F21" i="1"/>
  <c r="F15" i="1"/>
  <c r="E18" i="1"/>
  <c r="E17" i="1"/>
  <c r="E16" i="1"/>
  <c r="E15" i="1"/>
  <c r="D12" i="1"/>
  <c r="E11" i="1"/>
  <c r="C12" i="1"/>
  <c r="O4" i="1" s="1"/>
  <c r="G4" i="1" l="1"/>
  <c r="D4" i="7" a="1"/>
  <c r="I13" i="7" s="1"/>
  <c r="E26" i="1"/>
  <c r="F12" i="1"/>
  <c r="N21" i="1"/>
  <c r="F26" i="1"/>
  <c r="E12" i="1"/>
  <c r="C29" i="1"/>
  <c r="E4" i="1" l="1"/>
  <c r="K4" i="1"/>
  <c r="I5" i="7"/>
  <c r="I8" i="7"/>
  <c r="I9" i="7"/>
  <c r="I4" i="7"/>
  <c r="I11" i="7"/>
  <c r="I7" i="7"/>
  <c r="I12" i="7"/>
  <c r="I14" i="7"/>
  <c r="I10" i="7"/>
  <c r="I6" i="7"/>
  <c r="D4" i="7"/>
  <c r="C31" i="1"/>
  <c r="G31" i="1" s="1"/>
  <c r="C30" i="1"/>
  <c r="F29" i="1"/>
  <c r="C32" i="1"/>
  <c r="G29" i="1"/>
  <c r="E29" i="1"/>
  <c r="D28" i="7" l="1" a="1"/>
  <c r="D28" i="7" s="1"/>
  <c r="D16" i="7" a="1"/>
  <c r="D16" i="7" s="1"/>
  <c r="E30" i="1"/>
  <c r="U33" i="1" a="1"/>
  <c r="V36" i="1" s="1"/>
  <c r="K4" i="7" a="1"/>
  <c r="K4" i="7" s="1"/>
  <c r="E31" i="1"/>
  <c r="F31" i="1"/>
  <c r="F30" i="1"/>
  <c r="G30" i="1"/>
  <c r="F32" i="1"/>
  <c r="G32" i="1"/>
  <c r="E32" i="1"/>
  <c r="U3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<sst xmlns="http://schemas.openxmlformats.org/spreadsheetml/2006/main" count="181" uniqueCount="80">
  <si>
    <t>Date</t>
  </si>
  <si>
    <t>Type</t>
  </si>
  <si>
    <t>Description</t>
  </si>
  <si>
    <t>Category</t>
  </si>
  <si>
    <t xml:space="preserve">Amount </t>
  </si>
  <si>
    <t>Expense</t>
  </si>
  <si>
    <t>Transportation</t>
  </si>
  <si>
    <t>Parking Ticket</t>
  </si>
  <si>
    <t>Income</t>
  </si>
  <si>
    <t>Expenses</t>
  </si>
  <si>
    <t>Savings</t>
  </si>
  <si>
    <t>Budget</t>
  </si>
  <si>
    <t>Other Income</t>
  </si>
  <si>
    <t>Pay Check</t>
  </si>
  <si>
    <t>Gas Money</t>
  </si>
  <si>
    <t>PayCheck</t>
  </si>
  <si>
    <t>Salary Income</t>
  </si>
  <si>
    <t>Subscriptions</t>
  </si>
  <si>
    <t>Budget DashBoard</t>
  </si>
  <si>
    <t>Total</t>
  </si>
  <si>
    <t>Variance</t>
  </si>
  <si>
    <t>Actual</t>
  </si>
  <si>
    <t>% Used</t>
  </si>
  <si>
    <t>Status</t>
  </si>
  <si>
    <t xml:space="preserve">Miscellaneous  </t>
  </si>
  <si>
    <t>Housing</t>
  </si>
  <si>
    <t>Sold Clothing Item</t>
  </si>
  <si>
    <t xml:space="preserve">Drinks </t>
  </si>
  <si>
    <t>% Completed</t>
  </si>
  <si>
    <t>Utilities</t>
  </si>
  <si>
    <t>Insurance</t>
  </si>
  <si>
    <t>Groceries</t>
  </si>
  <si>
    <t>Entertainment</t>
  </si>
  <si>
    <t>Healthcare</t>
  </si>
  <si>
    <t>Debt</t>
  </si>
  <si>
    <t>Month &amp; Year:</t>
  </si>
  <si>
    <t>Actual Savings</t>
  </si>
  <si>
    <t>Debt Paydown</t>
  </si>
  <si>
    <t>Emeregency Fund</t>
  </si>
  <si>
    <t>Investments</t>
  </si>
  <si>
    <t>Account Allocation Rates</t>
  </si>
  <si>
    <t xml:space="preserve">% </t>
  </si>
  <si>
    <t>% Saved</t>
  </si>
  <si>
    <t>Lockes Coupons</t>
  </si>
  <si>
    <t>Monthly Cost</t>
  </si>
  <si>
    <t>Renewal Date</t>
  </si>
  <si>
    <t>Service</t>
  </si>
  <si>
    <t>Chat Gpt Plus</t>
  </si>
  <si>
    <t>Education</t>
  </si>
  <si>
    <t>Renewal Frequency</t>
  </si>
  <si>
    <t xml:space="preserve">Audible </t>
  </si>
  <si>
    <t>WSJ</t>
  </si>
  <si>
    <t>Notes</t>
  </si>
  <si>
    <t>3.99 until December 1st 2026</t>
  </si>
  <si>
    <t>Amazon Prime</t>
  </si>
  <si>
    <t>Annual</t>
  </si>
  <si>
    <t xml:space="preserve">Calm </t>
  </si>
  <si>
    <t>Seeking Alpha</t>
  </si>
  <si>
    <t>Icloud+</t>
  </si>
  <si>
    <t>Milk</t>
  </si>
  <si>
    <t>Celius</t>
  </si>
  <si>
    <t>Gas money for lex</t>
  </si>
  <si>
    <t>Next Renewal</t>
  </si>
  <si>
    <t>Period Renewal Date</t>
  </si>
  <si>
    <t>Monthly</t>
  </si>
  <si>
    <t>PNC Investments</t>
  </si>
  <si>
    <t>Filtered Expenses</t>
  </si>
  <si>
    <t>Tequilla cowboy</t>
  </si>
  <si>
    <t>Test</t>
  </si>
  <si>
    <t>Student loan payment</t>
  </si>
  <si>
    <t>Movie</t>
  </si>
  <si>
    <t>Leisure</t>
  </si>
  <si>
    <t>audible</t>
  </si>
  <si>
    <t>rent</t>
  </si>
  <si>
    <t>electric</t>
  </si>
  <si>
    <t>r</t>
  </si>
  <si>
    <t>Donut Chart</t>
  </si>
  <si>
    <t>Month</t>
  </si>
  <si>
    <t>Savings Rate</t>
  </si>
  <si>
    <t>Bar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</si>
</sst>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3" formatCode="_(* #,##0.00_);_(* \(#,##0.00\);_(* &quot;-&quot;??_);_(@_)"/>
    <numFmt numFmtId="164" formatCode="0.0%"/>
    <numFmt numFmtId="165" formatCode="0.00_);\(0.0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5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4874C4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dotted">
        <color auto="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3" fillId="0" borderId="0" xfId="0" applyFont="1"/>
    <xf numFmtId="7" fontId="0" fillId="0" borderId="0" xfId="0" applyNumberFormat="1"/>
    <xf numFmtId="14" fontId="0" fillId="0" borderId="0" xfId="0" applyNumberFormat="1"/>
    <xf numFmtId="0" fontId="0" fillId="0" borderId="1" xfId="0" applyBorder="1"/>
    <xf numFmtId="9" fontId="6" fillId="0" borderId="0" xfId="2" applyFont="1" applyFill="1"/>
    <xf numFmtId="9" fontId="5" fillId="0" borderId="0" xfId="2" applyFont="1" applyFill="1" applyAlignment="1"/>
    <xf numFmtId="9" fontId="4" fillId="0" borderId="0" xfId="2" applyFont="1" applyFill="1" applyAlignment="1"/>
    <xf numFmtId="9" fontId="0" fillId="0" borderId="0" xfId="2" applyFont="1" applyFill="1"/>
    <xf numFmtId="9" fontId="0" fillId="0" borderId="0" xfId="2" applyFont="1"/>
    <xf numFmtId="0" fontId="0" fillId="2" borderId="0" xfId="0" applyFill="1"/>
    <xf numFmtId="0" fontId="6" fillId="3" borderId="0" xfId="0" applyFont="1" applyFill="1"/>
    <xf numFmtId="0" fontId="5" fillId="3" borderId="0" xfId="0" applyFont="1" applyFill="1"/>
    <xf numFmtId="0" fontId="4" fillId="3" borderId="0" xfId="0" applyFont="1" applyFill="1"/>
    <xf numFmtId="0" fontId="0" fillId="3" borderId="0" xfId="0" applyFill="1"/>
    <xf numFmtId="0" fontId="7" fillId="4" borderId="0" xfId="0" applyFont="1" applyFill="1"/>
    <xf numFmtId="0" fontId="8" fillId="4" borderId="0" xfId="0" applyFont="1" applyFill="1"/>
    <xf numFmtId="0" fontId="8" fillId="5" borderId="0" xfId="0" applyFont="1" applyFill="1"/>
    <xf numFmtId="0" fontId="7" fillId="5" borderId="0" xfId="0" applyFont="1" applyFill="1"/>
    <xf numFmtId="0" fontId="3" fillId="2" borderId="0" xfId="0" applyFont="1" applyFill="1"/>
    <xf numFmtId="164" fontId="0" fillId="0" borderId="0" xfId="0" applyNumberFormat="1"/>
    <xf numFmtId="14" fontId="0" fillId="0" borderId="1" xfId="0" applyNumberFormat="1" applyBorder="1"/>
    <xf numFmtId="164" fontId="0" fillId="0" borderId="1" xfId="0" applyNumberFormat="1" applyBorder="1"/>
    <xf numFmtId="4" fontId="0" fillId="0" borderId="0" xfId="0" applyNumberFormat="1"/>
    <xf numFmtId="4" fontId="0" fillId="0" borderId="1" xfId="0" applyNumberFormat="1" applyBorder="1"/>
    <xf numFmtId="4" fontId="3" fillId="0" borderId="0" xfId="0" applyNumberFormat="1" applyFont="1"/>
    <xf numFmtId="164" fontId="3" fillId="0" borderId="0" xfId="0" applyNumberFormat="1" applyFont="1"/>
    <xf numFmtId="43" fontId="0" fillId="0" borderId="0" xfId="1" applyFont="1" applyBorder="1"/>
    <xf numFmtId="43" fontId="0" fillId="0" borderId="0" xfId="0" applyNumberFormat="1"/>
    <xf numFmtId="164" fontId="0" fillId="0" borderId="0" xfId="0" applyNumberFormat="1" applyAlignment="1">
      <alignment wrapText="1"/>
    </xf>
    <xf numFmtId="164" fontId="9" fillId="2" borderId="0" xfId="0" applyNumberFormat="1" applyFont="1" applyFill="1"/>
    <xf numFmtId="0" fontId="3" fillId="0" borderId="1" xfId="0" applyFont="1" applyBorder="1"/>
    <xf numFmtId="39" fontId="0" fillId="0" borderId="0" xfId="0" applyNumberFormat="1"/>
    <xf numFmtId="39" fontId="0" fillId="2" borderId="0" xfId="0" applyNumberFormat="1" applyFill="1"/>
    <xf numFmtId="16" fontId="0" fillId="0" borderId="0" xfId="0" applyNumberFormat="1"/>
    <xf numFmtId="0" fontId="8" fillId="6" borderId="0" xfId="0" applyFont="1" applyFill="1"/>
    <xf numFmtId="0" fontId="7" fillId="6" borderId="0" xfId="0" applyFont="1" applyFill="1"/>
    <xf numFmtId="4" fontId="8" fillId="6" borderId="0" xfId="0" applyNumberFormat="1" applyFont="1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1" fillId="0" borderId="0" xfId="0" applyFont="1"/>
    <xf numFmtId="0" fontId="11" fillId="0" borderId="3" xfId="0" applyFont="1" applyBorder="1"/>
    <xf numFmtId="0" fontId="11" fillId="0" borderId="4" xfId="0" applyFont="1" applyBorder="1"/>
    <xf numFmtId="0" fontId="3" fillId="0" borderId="2" xfId="0" applyFont="1" applyBorder="1"/>
    <xf numFmtId="39" fontId="0" fillId="0" borderId="6" xfId="0" applyNumberFormat="1" applyBorder="1"/>
    <xf numFmtId="165" fontId="0" fillId="0" borderId="0" xfId="0" applyNumberFormat="1"/>
    <xf numFmtId="9" fontId="0" fillId="0" borderId="7" xfId="0" applyNumberFormat="1" applyBorder="1"/>
    <xf numFmtId="165" fontId="0" fillId="2" borderId="0" xfId="0" applyNumberFormat="1" applyFill="1"/>
    <xf numFmtId="165" fontId="4" fillId="3" borderId="0" xfId="0" applyNumberFormat="1" applyFont="1" applyFill="1"/>
    <xf numFmtId="165" fontId="4" fillId="0" borderId="0" xfId="2" applyNumberFormat="1" applyFont="1" applyFill="1" applyAlignment="1"/>
    <xf numFmtId="165" fontId="8" fillId="4" borderId="0" xfId="0" applyNumberFormat="1" applyFont="1" applyFill="1"/>
    <xf numFmtId="165" fontId="0" fillId="0" borderId="1" xfId="0" applyNumberFormat="1" applyBorder="1"/>
    <xf numFmtId="165" fontId="3" fillId="0" borderId="0" xfId="0" applyNumberFormat="1" applyFont="1"/>
    <xf numFmtId="165" fontId="8" fillId="6" borderId="0" xfId="0" applyNumberFormat="1" applyFont="1" applyFill="1"/>
    <xf numFmtId="165" fontId="8" fillId="5" borderId="0" xfId="0" applyNumberFormat="1" applyFont="1" applyFill="1"/>
    <xf numFmtId="0" fontId="11" fillId="0" borderId="3" xfId="0" applyFont="1" applyBorder="1" applyAlignment="1">
      <alignment horizontal="center"/>
    </xf>
    <xf numFmtId="14" fontId="3" fillId="0" borderId="0" xfId="0" applyNumberFormat="1" applyFont="1"/>
    <xf numFmtId="10" fontId="0" fillId="0" borderId="0" xfId="0" applyNumberFormat="1"/>
    <xf numFmtId="14" fontId="9" fillId="2" borderId="0" xfId="0" applyNumberFormat="1" applyFont="1" applyFill="1"/>
    <xf numFmtId="39" fontId="0" fillId="3" borderId="0" xfId="0" applyNumberFormat="1" applyFill="1"/>
    <xf numFmtId="39" fontId="0" fillId="0" borderId="0" xfId="2" applyNumberFormat="1" applyFont="1" applyFill="1"/>
    <xf numFmtId="39" fontId="11" fillId="0" borderId="4" xfId="0" applyNumberFormat="1" applyFont="1" applyBorder="1"/>
    <xf numFmtId="39" fontId="0" fillId="0" borderId="9" xfId="0" applyNumberFormat="1" applyBorder="1"/>
    <xf numFmtId="39" fontId="0" fillId="0" borderId="4" xfId="0" applyNumberFormat="1" applyBorder="1"/>
    <xf numFmtId="7" fontId="3" fillId="0" borderId="2" xfId="0" applyNumberFormat="1" applyFont="1" applyBorder="1"/>
    <xf numFmtId="0" fontId="3" fillId="0" borderId="11" xfId="0" applyFont="1" applyBorder="1"/>
    <xf numFmtId="7" fontId="3" fillId="0" borderId="11" xfId="0" applyNumberFormat="1" applyFont="1" applyBorder="1"/>
    <xf numFmtId="0" fontId="0" fillId="7" borderId="0" xfId="0" applyFill="1"/>
    <xf numFmtId="0" fontId="0" fillId="8" borderId="0" xfId="0" applyFill="1"/>
    <xf numFmtId="0" fontId="0" fillId="9" borderId="0" xfId="0" applyFill="1"/>
    <xf numFmtId="9" fontId="12" fillId="0" borderId="0" xfId="0" applyNumberFormat="1" applyFont="1"/>
    <xf numFmtId="7" fontId="3" fillId="2" borderId="0" xfId="0" applyNumberFormat="1" applyFont="1" applyFill="1"/>
    <xf numFmtId="10" fontId="3" fillId="2" borderId="0" xfId="0" applyNumberFormat="1" applyFont="1" applyFill="1"/>
    <xf numFmtId="0" fontId="2" fillId="3" borderId="0" xfId="0" applyFont="1" applyFill="1" applyAlignment="1">
      <alignment horizontal="center"/>
    </xf>
  </cellXfs>
  <cellStyles count="5">
    <cellStyle name="Comma" xfId="1" builtinId="3"/>
    <cellStyle name="Comma 2" xfId="3" xr:uid="{CA68E404-385F-4735-8C51-603C2E1B5B8E}"/>
    <cellStyle name="Normal" xfId="0" builtinId="0"/>
    <cellStyle name="Percent" xfId="2" builtinId="5"/>
    <cellStyle name="Percent 2" xfId="4" xr:uid="{34E12A1C-A877-48FC-9AA3-AB1871E66F5C}"/>
  </cellStyles>
  <dxfs count="40">
    <dxf>
      <fill>
        <patternFill>
          <bgColor theme="5" tint="-0.499984740745262"/>
        </patternFill>
      </fill>
    </dxf>
    <dxf>
      <fill>
        <patternFill>
          <bgColor rgb="FFFCE9DC"/>
        </patternFill>
      </fill>
    </dxf>
    <dxf>
      <fill>
        <patternFill>
          <bgColor rgb="FFFADDCA"/>
        </patternFill>
      </fill>
    </dxf>
    <dxf>
      <fill>
        <patternFill>
          <bgColor rgb="FFF8CEB2"/>
        </patternFill>
      </fill>
    </dxf>
    <dxf>
      <fill>
        <patternFill>
          <bgColor rgb="FFF2A36E"/>
        </patternFill>
      </fill>
    </dxf>
    <dxf>
      <fill>
        <patternFill>
          <bgColor rgb="FFEE8E4C"/>
        </patternFill>
      </fill>
    </dxf>
    <dxf>
      <fill>
        <patternFill>
          <bgColor rgb="FFED833B"/>
        </patternFill>
      </fill>
    </dxf>
    <dxf>
      <fill>
        <patternFill>
          <bgColor rgb="FFD66314"/>
        </patternFill>
      </fill>
    </dxf>
    <dxf>
      <fill>
        <patternFill>
          <bgColor rgb="FFBE5812"/>
        </patternFill>
      </fill>
    </dxf>
    <dxf>
      <fill>
        <patternFill>
          <bgColor rgb="FFAC4F10"/>
        </patternFill>
      </fill>
    </dxf>
    <dxf>
      <fill>
        <patternFill>
          <bgColor rgb="FF9A470E"/>
        </patternFill>
      </fill>
    </dxf>
    <dxf>
      <fill>
        <patternFill>
          <bgColor theme="5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numFmt numFmtId="164" formatCode="0.0%"/>
    </dxf>
    <dxf>
      <numFmt numFmtId="165" formatCode="0.00_);\(0.00\)"/>
    </dxf>
    <dxf>
      <numFmt numFmtId="165" formatCode="0.00_);\(0.00\)"/>
    </dxf>
    <dxf>
      <numFmt numFmtId="165" formatCode="0.00_);\(0.00\)"/>
    </dxf>
    <dxf>
      <numFmt numFmtId="165" formatCode="0.00_);\(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</dxf>
    <dxf>
      <numFmt numFmtId="19" formatCode="m/d/yyyy"/>
    </dxf>
    <dxf>
      <numFmt numFmtId="19" formatCode="m/d/yyyy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7" formatCode="#,##0.00_);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3E6CC0"/>
      <color rgb="FF4874C4"/>
      <color rgb="FFBFBFBF"/>
      <color rgb="FFD66314"/>
      <color rgb="FFFCE9DC"/>
      <color rgb="FFFADDCA"/>
      <color rgb="FFF8CCAE"/>
      <color rgb="FFF8CEB2"/>
      <color rgb="FFF2A36E"/>
      <color rgb="FFEE8E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09-43F0-B440-A4B0F63A1F36}"/>
              </c:ext>
            </c:extLst>
          </c:dPt>
          <c:dPt>
            <c:idx val="1"/>
            <c:bubble3D val="0"/>
            <c:spPr>
              <a:solidFill>
                <a:schemeClr val="accent2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09-43F0-B440-A4B0F63A1F36}"/>
              </c:ext>
            </c:extLst>
          </c:dPt>
          <c:dPt>
            <c:idx val="2"/>
            <c:bubble3D val="0"/>
            <c:spPr>
              <a:solidFill>
                <a:schemeClr val="accent2">
                  <a:shade val="7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09-43F0-B440-A4B0F63A1F36}"/>
              </c:ext>
            </c:extLst>
          </c:dPt>
          <c:dPt>
            <c:idx val="3"/>
            <c:bubble3D val="0"/>
            <c:spPr>
              <a:solidFill>
                <a:schemeClr val="accent2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609-43F0-B440-A4B0F63A1F36}"/>
              </c:ext>
            </c:extLst>
          </c:dPt>
          <c:dPt>
            <c:idx val="4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609-43F0-B440-A4B0F63A1F36}"/>
              </c:ext>
            </c:extLst>
          </c:dPt>
          <c:dPt>
            <c:idx val="5"/>
            <c:bubble3D val="0"/>
            <c:spPr>
              <a:solidFill>
                <a:schemeClr val="accent2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609-43F0-B440-A4B0F63A1F36}"/>
              </c:ext>
            </c:extLst>
          </c:dPt>
          <c:dPt>
            <c:idx val="6"/>
            <c:bubble3D val="0"/>
            <c:spPr>
              <a:solidFill>
                <a:schemeClr val="accent2">
                  <a:tint val="7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609-43F0-B440-A4B0F63A1F36}"/>
              </c:ext>
            </c:extLst>
          </c:dPt>
          <c:dPt>
            <c:idx val="7"/>
            <c:bubble3D val="0"/>
            <c:spPr>
              <a:solidFill>
                <a:schemeClr val="accent2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609-43F0-B440-A4B0F63A1F36}"/>
              </c:ext>
            </c:extLst>
          </c:dPt>
          <c:dPt>
            <c:idx val="8"/>
            <c:bubble3D val="0"/>
            <c:spPr>
              <a:solidFill>
                <a:schemeClr val="accent2">
                  <a:tint val="4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609-43F0-B440-A4B0F63A1F36}"/>
              </c:ext>
            </c:extLst>
          </c:dPt>
          <c:cat>
            <c:strRef>
              <c:f>'Charts Sheet'!$A$4:$A$12</c:f>
              <c:strCache>
                <c:ptCount val="9"/>
                <c:pt idx="0">
                  <c:v>Utilities</c:v>
                </c:pt>
                <c:pt idx="1">
                  <c:v>Leisure</c:v>
                </c:pt>
                <c:pt idx="2">
                  <c:v>Debt</c:v>
                </c:pt>
                <c:pt idx="3">
                  <c:v>Insurance</c:v>
                </c:pt>
                <c:pt idx="4">
                  <c:v>Housing</c:v>
                </c:pt>
                <c:pt idx="5">
                  <c:v>Subscriptions</c:v>
                </c:pt>
                <c:pt idx="6">
                  <c:v>Miscellaneous  </c:v>
                </c:pt>
                <c:pt idx="7">
                  <c:v>Transportation</c:v>
                </c:pt>
                <c:pt idx="8">
                  <c:v>Groceries</c:v>
                </c:pt>
              </c:strCache>
            </c:strRef>
          </c:cat>
          <c:val>
            <c:numRef>
              <c:f>'Charts Sheet'!$B$4:$B$12</c:f>
              <c:numCache>
                <c:formatCode>General</c:formatCode>
                <c:ptCount val="9"/>
                <c:pt idx="0">
                  <c:v>200</c:v>
                </c:pt>
                <c:pt idx="1">
                  <c:v>131</c:v>
                </c:pt>
                <c:pt idx="2">
                  <c:v>130</c:v>
                </c:pt>
                <c:pt idx="3">
                  <c:v>120</c:v>
                </c:pt>
                <c:pt idx="4">
                  <c:v>100</c:v>
                </c:pt>
                <c:pt idx="5">
                  <c:v>43.980000000000004</c:v>
                </c:pt>
                <c:pt idx="6">
                  <c:v>34.56</c:v>
                </c:pt>
                <c:pt idx="7">
                  <c:v>26.54</c:v>
                </c:pt>
                <c:pt idx="8">
                  <c:v>6.99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609-43F0-B440-A4B0F63A1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Budget</a:t>
            </a:r>
            <a:r>
              <a:rPr lang="en-US" b="1" baseline="0">
                <a:solidFill>
                  <a:sysClr val="windowText" lastClr="000000"/>
                </a:solidFill>
              </a:rPr>
              <a:t> vs.</a:t>
            </a:r>
            <a:r>
              <a:rPr lang="en-US" baseline="0"/>
              <a:t> </a:t>
            </a:r>
            <a:r>
              <a:rPr lang="en-US" b="1" baseline="0">
                <a:solidFill>
                  <a:schemeClr val="accent2">
                    <a:lumMod val="75000"/>
                  </a:schemeClr>
                </a:solidFill>
              </a:rPr>
              <a:t>Actual</a:t>
            </a:r>
            <a:endParaRPr lang="en-US" b="1">
              <a:solidFill>
                <a:schemeClr val="accent2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3470581949068447"/>
          <c:y val="8.2886053036473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'Charts Sheet'!$E$27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'Charts Sheet'!$D$28:$D$38</c:f>
              <c:strCache>
                <c:ptCount val="11"/>
                <c:pt idx="0">
                  <c:v>Debt</c:v>
                </c:pt>
                <c:pt idx="1">
                  <c:v>Transportation</c:v>
                </c:pt>
                <c:pt idx="2">
                  <c:v>Utilities</c:v>
                </c:pt>
                <c:pt idx="3">
                  <c:v>Housing</c:v>
                </c:pt>
                <c:pt idx="4">
                  <c:v>Groceries</c:v>
                </c:pt>
                <c:pt idx="5">
                  <c:v>Leisure</c:v>
                </c:pt>
                <c:pt idx="6">
                  <c:v>Healthcare</c:v>
                </c:pt>
                <c:pt idx="7">
                  <c:v>Miscellaneous  </c:v>
                </c:pt>
                <c:pt idx="8">
                  <c:v>Education</c:v>
                </c:pt>
                <c:pt idx="9">
                  <c:v>Subscriptions</c:v>
                </c:pt>
                <c:pt idx="10">
                  <c:v>Insurance</c:v>
                </c:pt>
              </c:strCache>
            </c:strRef>
          </c:cat>
          <c:val>
            <c:numRef>
              <c:f>'Charts Sheet'!$E$28:$E$38</c:f>
              <c:numCache>
                <c:formatCode>General</c:formatCode>
                <c:ptCount val="11"/>
                <c:pt idx="0">
                  <c:v>130</c:v>
                </c:pt>
                <c:pt idx="1">
                  <c:v>26.54</c:v>
                </c:pt>
                <c:pt idx="2">
                  <c:v>200</c:v>
                </c:pt>
                <c:pt idx="3">
                  <c:v>100</c:v>
                </c:pt>
                <c:pt idx="4">
                  <c:v>6.99</c:v>
                </c:pt>
                <c:pt idx="5">
                  <c:v>131</c:v>
                </c:pt>
                <c:pt idx="6">
                  <c:v>5</c:v>
                </c:pt>
                <c:pt idx="7">
                  <c:v>34.56</c:v>
                </c:pt>
                <c:pt idx="8">
                  <c:v>5</c:v>
                </c:pt>
                <c:pt idx="9">
                  <c:v>43.980000000000004</c:v>
                </c:pt>
                <c:pt idx="10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0-4E2E-A69C-2CC1AE74EDE3}"/>
            </c:ext>
          </c:extLst>
        </c:ser>
        <c:ser>
          <c:idx val="1"/>
          <c:order val="1"/>
          <c:tx>
            <c:strRef>
              <c:f>'Charts Sheet'!$F$27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BFBFBF">
                <a:alpha val="49020"/>
              </a:srgbClr>
            </a:solidFill>
            <a:ln>
              <a:noFill/>
            </a:ln>
            <a:effectLst/>
          </c:spPr>
          <c:invertIfNegative val="0"/>
          <c:cat>
            <c:strRef>
              <c:f>'Charts Sheet'!$D$28:$D$38</c:f>
              <c:strCache>
                <c:ptCount val="11"/>
                <c:pt idx="0">
                  <c:v>Debt</c:v>
                </c:pt>
                <c:pt idx="1">
                  <c:v>Transportation</c:v>
                </c:pt>
                <c:pt idx="2">
                  <c:v>Utilities</c:v>
                </c:pt>
                <c:pt idx="3">
                  <c:v>Housing</c:v>
                </c:pt>
                <c:pt idx="4">
                  <c:v>Groceries</c:v>
                </c:pt>
                <c:pt idx="5">
                  <c:v>Leisure</c:v>
                </c:pt>
                <c:pt idx="6">
                  <c:v>Healthcare</c:v>
                </c:pt>
                <c:pt idx="7">
                  <c:v>Miscellaneous  </c:v>
                </c:pt>
                <c:pt idx="8">
                  <c:v>Education</c:v>
                </c:pt>
                <c:pt idx="9">
                  <c:v>Subscriptions</c:v>
                </c:pt>
                <c:pt idx="10">
                  <c:v>Insurance</c:v>
                </c:pt>
              </c:strCache>
            </c:strRef>
          </c:cat>
          <c:val>
            <c:numRef>
              <c:f>'Charts Sheet'!$F$28:$F$38</c:f>
              <c:numCache>
                <c:formatCode>General</c:formatCode>
                <c:ptCount val="11"/>
                <c:pt idx="0">
                  <c:v>800</c:v>
                </c:pt>
                <c:pt idx="1">
                  <c:v>500</c:v>
                </c:pt>
                <c:pt idx="2">
                  <c:v>0</c:v>
                </c:pt>
                <c:pt idx="3">
                  <c:v>0</c:v>
                </c:pt>
                <c:pt idx="4">
                  <c:v>100</c:v>
                </c:pt>
                <c:pt idx="5">
                  <c:v>200</c:v>
                </c:pt>
                <c:pt idx="6">
                  <c:v>50</c:v>
                </c:pt>
                <c:pt idx="7">
                  <c:v>50</c:v>
                </c:pt>
                <c:pt idx="8">
                  <c:v>20</c:v>
                </c:pt>
                <c:pt idx="9">
                  <c:v>40</c:v>
                </c:pt>
                <c:pt idx="10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50-4E2E-A69C-2CC1AE74E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04597599"/>
        <c:axId val="511126079"/>
      </c:barChart>
      <c:catAx>
        <c:axId val="204597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shade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126079"/>
        <c:crosses val="autoZero"/>
        <c:auto val="1"/>
        <c:lblAlgn val="ctr"/>
        <c:lblOffset val="100"/>
        <c:noMultiLvlLbl val="0"/>
      </c:catAx>
      <c:valAx>
        <c:axId val="511126079"/>
        <c:scaling>
          <c:orientation val="minMax"/>
        </c:scaling>
        <c:delete val="0"/>
        <c:axPos val="b"/>
        <c:numFmt formatCode="&quot;$&quot;#,##0_);\(&quot;$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97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Monthly</a:t>
            </a:r>
            <a:r>
              <a:rPr lang="en-US" b="1" baseline="0">
                <a:solidFill>
                  <a:sysClr val="windowText" lastClr="000000"/>
                </a:solidFill>
              </a:rPr>
              <a:t> Financial Trends</a:t>
            </a:r>
            <a:endParaRPr lang="en-US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8771738782990419"/>
          <c:y val="9.69976905311778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Summary Sheet'!$D$1</c:f>
              <c:strCache>
                <c:ptCount val="1"/>
                <c:pt idx="0">
                  <c:v>Income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'Monthly Summary Sheet'!$A$2:$A$12</c:f>
              <c:numCache>
                <c:formatCode>m/d/yyyy</c:formatCode>
                <c:ptCount val="11"/>
                <c:pt idx="0">
                  <c:v>46204</c:v>
                </c:pt>
                <c:pt idx="1">
                  <c:v>46235</c:v>
                </c:pt>
              </c:numCache>
            </c:numRef>
          </c:cat>
          <c:val>
            <c:numRef>
              <c:f>'Monthly Summary Sheet'!$D$2:$D$12</c:f>
              <c:numCache>
                <c:formatCode>0.00_);\(0.00\)</c:formatCode>
                <c:ptCount val="11"/>
                <c:pt idx="0">
                  <c:v>2354.5600000000004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2D-45DE-BB2A-84CEF4EC685A}"/>
            </c:ext>
          </c:extLst>
        </c:ser>
        <c:ser>
          <c:idx val="1"/>
          <c:order val="1"/>
          <c:tx>
            <c:strRef>
              <c:f>'Monthly Summary Sheet'!$G$1</c:f>
              <c:strCache>
                <c:ptCount val="1"/>
                <c:pt idx="0">
                  <c:v>Expenses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'Monthly Summary Sheet'!$A$2:$A$12</c:f>
              <c:numCache>
                <c:formatCode>m/d/yyyy</c:formatCode>
                <c:ptCount val="11"/>
                <c:pt idx="0">
                  <c:v>46204</c:v>
                </c:pt>
                <c:pt idx="1">
                  <c:v>46235</c:v>
                </c:pt>
              </c:numCache>
            </c:numRef>
          </c:cat>
          <c:val>
            <c:numRef>
              <c:f>'Monthly Summary Sheet'!$G$2:$G$12</c:f>
              <c:numCache>
                <c:formatCode>0.00_);\(0.00\)</c:formatCode>
                <c:ptCount val="11"/>
                <c:pt idx="0">
                  <c:v>803.07</c:v>
                </c:pt>
                <c:pt idx="1">
                  <c:v>316.94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2D-45DE-BB2A-84CEF4EC685A}"/>
            </c:ext>
          </c:extLst>
        </c:ser>
        <c:ser>
          <c:idx val="2"/>
          <c:order val="2"/>
          <c:tx>
            <c:strRef>
              <c:f>'Monthly Summary Sheet'!$H$1</c:f>
              <c:strCache>
                <c:ptCount val="1"/>
                <c:pt idx="0">
                  <c:v>Savings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'Monthly Summary Sheet'!$A$2:$A$12</c:f>
              <c:numCache>
                <c:formatCode>m/d/yyyy</c:formatCode>
                <c:ptCount val="11"/>
                <c:pt idx="0">
                  <c:v>46204</c:v>
                </c:pt>
                <c:pt idx="1">
                  <c:v>46235</c:v>
                </c:pt>
              </c:numCache>
            </c:numRef>
          </c:cat>
          <c:val>
            <c:numRef>
              <c:f>'Monthly Summary Sheet'!$H$2:$H$12</c:f>
              <c:numCache>
                <c:formatCode>0.00_);\(0.00\)</c:formatCode>
                <c:ptCount val="11"/>
                <c:pt idx="0">
                  <c:v>1551.4900000000002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2D-45DE-BB2A-84CEF4EC6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9031903"/>
        <c:axId val="1608867215"/>
      </c:lineChart>
      <c:dateAx>
        <c:axId val="479031903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867215"/>
        <c:crosses val="autoZero"/>
        <c:auto val="1"/>
        <c:lblOffset val="100"/>
        <c:baseTimeUnit val="months"/>
      </c:dateAx>
      <c:valAx>
        <c:axId val="1608867215"/>
        <c:scaling>
          <c:orientation val="minMax"/>
        </c:scaling>
        <c:delete val="0"/>
        <c:axPos val="l"/>
        <c:numFmt formatCode="&quot;$&quot;#,##0_);\(&quot;$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03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01321215091686"/>
          <c:y val="0.18517321016166283"/>
          <c:w val="0.51903319855288355"/>
          <c:h val="7.794511829208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5F-46B8-B600-CD79EB4134D7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5F-46B8-B600-CD79EB4134D7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F5F-46B8-B600-CD79EB4134D7}"/>
              </c:ext>
            </c:extLst>
          </c:dPt>
          <c:cat>
            <c:strRef>
              <c:f>'Charts Sheet'!$K$4:$K$6</c:f>
              <c:strCache>
                <c:ptCount val="3"/>
                <c:pt idx="0">
                  <c:v>Debt Paydown</c:v>
                </c:pt>
                <c:pt idx="1">
                  <c:v>Emeregency Fund</c:v>
                </c:pt>
                <c:pt idx="2">
                  <c:v>Investments</c:v>
                </c:pt>
              </c:strCache>
            </c:strRef>
          </c:cat>
          <c:val>
            <c:numRef>
              <c:f>'Charts Sheet'!$L$4:$L$6</c:f>
              <c:numCache>
                <c:formatCode>General</c:formatCode>
                <c:ptCount val="3"/>
                <c:pt idx="0">
                  <c:v>930.89400000000023</c:v>
                </c:pt>
                <c:pt idx="1">
                  <c:v>310.29800000000012</c:v>
                </c:pt>
                <c:pt idx="2">
                  <c:v>310.29800000000012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DD8-4EDD-8E94-78D4AA63F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600074</xdr:colOff>
      <xdr:row>8</xdr:row>
      <xdr:rowOff>103187</xdr:rowOff>
    </xdr:from>
    <xdr:to>
      <xdr:col>10</xdr:col>
      <xdr:colOff>609599</xdr:colOff>
      <xdr:row>10</xdr:row>
      <xdr:rowOff>82550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C12E18E-60AA-2D6F-C54F-76E0ADE52344}"/>
            </a:ext>
          </a:extLst>
        </xdr:cNvPr>
        <xdr:cNvSpPr txBox="1"/>
      </xdr:nvSpPr>
      <xdr:spPr>
        <a:xfrm>
          <a:off x="6419849" y="1884362"/>
          <a:ext cx="1838325" cy="3413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accent2">
                  <a:lumMod val="75000"/>
                </a:schemeClr>
              </a:solidFill>
            </a:rPr>
            <a:t>Expense</a:t>
          </a:r>
          <a:r>
            <a:rPr lang="en-US" sz="1400" b="1" baseline="0">
              <a:solidFill>
                <a:schemeClr val="accent2">
                  <a:lumMod val="75000"/>
                </a:schemeClr>
              </a:solidFill>
            </a:rPr>
            <a:t> </a:t>
          </a:r>
          <a:r>
            <a:rPr lang="en-US" sz="1400" b="1" baseline="0"/>
            <a:t>Breakdown</a:t>
          </a:r>
          <a:endParaRPr lang="en-US" sz="1100" b="1"/>
        </a:p>
      </xdr:txBody>
    </xdr:sp>
    <xdr:clientData/>
  </xdr:twoCellAnchor>
  <xdr:twoCellAnchor>
    <xdr:from>
      <xdr:col>6</xdr:col>
      <xdr:colOff>768350</xdr:colOff>
      <xdr:row>10</xdr:row>
      <xdr:rowOff>28575</xdr:rowOff>
    </xdr:from>
    <xdr:to>
      <xdr:col>12</xdr:col>
      <xdr:colOff>498474</xdr:colOff>
      <xdr:row>20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B4E5BA-36B8-41DE-8687-21FB6AEB8E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44450</xdr:colOff>
      <xdr:row>7</xdr:row>
      <xdr:rowOff>9525</xdr:rowOff>
    </xdr:from>
    <xdr:to>
      <xdr:col>23</xdr:col>
      <xdr:colOff>34925</xdr:colOff>
      <xdr:row>22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3B1FC4C-F50B-492B-9D97-E14DFA4495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</xdr:colOff>
      <xdr:row>21</xdr:row>
      <xdr:rowOff>133350</xdr:rowOff>
    </xdr:from>
    <xdr:to>
      <xdr:col>15</xdr:col>
      <xdr:colOff>139700</xdr:colOff>
      <xdr:row>36</xdr:row>
      <xdr:rowOff>149225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46AEFD7-D19D-4CF8-9AFF-75769B502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9524</xdr:colOff>
      <xdr:row>23</xdr:row>
      <xdr:rowOff>144462</xdr:rowOff>
    </xdr:from>
    <xdr:to>
      <xdr:col>20</xdr:col>
      <xdr:colOff>142874</xdr:colOff>
      <xdr:row>25</xdr:row>
      <xdr:rowOff>123825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F9D11DF-13D9-A86A-530A-85FAA10C2640}"/>
            </a:ext>
          </a:extLst>
        </xdr:cNvPr>
        <xdr:cNvSpPr txBox="1"/>
      </xdr:nvSpPr>
      <xdr:spPr>
        <a:xfrm>
          <a:off x="11934824" y="4478337"/>
          <a:ext cx="2114550" cy="3413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70C0"/>
              </a:solidFill>
            </a:rPr>
            <a:t>Savings</a:t>
          </a:r>
          <a:r>
            <a:rPr lang="en-US" sz="1400" b="1" baseline="0">
              <a:solidFill>
                <a:schemeClr val="accent2">
                  <a:lumMod val="75000"/>
                </a:schemeClr>
              </a:solidFill>
            </a:rPr>
            <a:t> </a:t>
          </a:r>
          <a:r>
            <a:rPr lang="en-US" sz="1400" b="1" baseline="0"/>
            <a:t>Allocation</a:t>
          </a:r>
          <a:endParaRPr lang="en-US" sz="1100" b="1"/>
        </a:p>
      </xdr:txBody>
    </xdr:sp>
    <xdr:clientData/>
  </xdr:twoCellAnchor>
  <xdr:twoCellAnchor>
    <xdr:from>
      <xdr:col>15</xdr:col>
      <xdr:colOff>409574</xdr:colOff>
      <xdr:row>25</xdr:row>
      <xdr:rowOff>57150</xdr:rowOff>
    </xdr:from>
    <xdr:to>
      <xdr:col>20</xdr:col>
      <xdr:colOff>19049</xdr:colOff>
      <xdr:row>35</xdr:row>
      <xdr:rowOff>25400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49B6FB0-2055-C7F1-5FC0-02E064A4F3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89B500-006D-4BA1-B202-ABCE05718F99}" name="Tracker" displayName="Tracker" ref="A1:E22" insertRowShift="1" totalsRowShown="0" headerRowDxfId="39" dataDxfId="38">
  <autoFilter ref="A1:E22" xr:uid="{AE89B500-006D-4BA1-B202-ABCE05718F99}"/>
  <tableColumns count="5">
    <tableColumn id="1" xr3:uid="{CE94D670-8D91-4CAA-A2C8-3D17C1BABC9C}" name="Date" dataDxfId="37"/>
    <tableColumn id="2" xr3:uid="{F555CFAC-EE2F-4F67-8A02-ADD7FE57183B}" name="Type" dataDxfId="36"/>
    <tableColumn id="3" xr3:uid="{435FF0B3-11DD-4C2E-BA74-06965C6429B7}" name="Description" dataDxfId="35"/>
    <tableColumn id="4" xr3:uid="{EBAD3F23-9ABE-4882-8380-00FE1B62D9E8}" name="Category" dataDxfId="34"/>
    <tableColumn id="6" xr3:uid="{EF6F71EC-AB71-4A39-85AF-CE80469E9EB5}" name="Amount " dataDxfId="33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BD95F3-51CF-4EEF-9758-6AF5BFF04FC2}" name="Budget" displayName="Budget" ref="A1:C29" totalsRowShown="0" tableBorderDxfId="32">
  <autoFilter ref="A1:C29" xr:uid="{C9BD95F3-51CF-4EEF-9758-6AF5BFF04FC2}"/>
  <tableColumns count="3">
    <tableColumn id="1" xr3:uid="{B006462A-04A5-450B-9FED-A87FAA5752BB}" name="Date" dataDxfId="31"/>
    <tableColumn id="2" xr3:uid="{A5FF8B58-D9A6-458C-93E5-E31C5F1FAD0E}" name="Category"/>
    <tableColumn id="3" xr3:uid="{8B4A5C87-9180-431A-A818-14E1BEEA9402}" name="Budget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9E1904-AD49-4DC3-B448-99CE231648D5}" name="Subscriptions" displayName="Subscriptions" ref="A1:H8" totalsRowShown="0">
  <autoFilter ref="A1:H8" xr:uid="{579E1904-AD49-4DC3-B448-99CE231648D5}"/>
  <tableColumns count="8">
    <tableColumn id="1" xr3:uid="{A6B75D7F-D8E9-4431-9D95-761ABB79BA85}" name="Service"/>
    <tableColumn id="2" xr3:uid="{AE94059B-1F39-4A6F-891C-F004A9322D0F}" name="Category"/>
    <tableColumn id="3" xr3:uid="{D5E6B0BE-AF9F-4A89-9B2A-A55337427A71}" name="Monthly Cost"/>
    <tableColumn id="4" xr3:uid="{973619E7-2ED8-4ECD-98C4-144B65ABA869}" name="Renewal Frequency"/>
    <tableColumn id="5" xr3:uid="{878413ED-90DC-46C8-AC78-7C581A307854}" name="Renewal Date"/>
    <tableColumn id="7" xr3:uid="{C55D8636-ADA8-4C94-8359-06F72F324C84}" name="Next Renewal"/>
    <tableColumn id="8" xr3:uid="{4ADA54DC-56D9-44F6-8CEF-1BA1309EC5A0}" name="Period Renewal Date" dataDxfId="30"/>
    <tableColumn id="6" xr3:uid="{5D9B69C5-FB57-45E1-8AA4-DF8440FBD609}" name="Notes"/>
  </tableColumns>
  <tableStyleInfo name="TableStyleLight18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8F3E98-36AE-49E8-99CB-BECC833D77A3}" name="Table6" displayName="Table6" ref="A1:I3" totalsRowShown="0">
  <autoFilter ref="A1:I3" xr:uid="{888F3E98-36AE-49E8-99CB-BECC833D77A3}"/>
  <tableColumns count="9">
    <tableColumn id="1" xr3:uid="{6387CDE8-7912-4A13-834C-B4D2D457ACB4}" name="Month" dataDxfId="29" totalsRowDxfId="28"/>
    <tableColumn id="2" xr3:uid="{43D14951-8FC6-43B2-BFB0-CC155E9E21D7}" name="Salary Income" dataDxfId="27">
      <calculatedColumnFormula>SUMIFS(Tracker[[Amount ]],Tracker[Type],B$1,Tracker[Date],"&gt;="&amp;EOMONTH($A2,-1)+1,Tracker[Date],"&lt;="&amp;EOMONTH($A2,0))</calculatedColumnFormula>
    </tableColumn>
    <tableColumn id="3" xr3:uid="{7E27B911-B8DF-4EED-80E6-B6E235B5C4DA}" name="Other Income">
      <calculatedColumnFormula>SUMIFS(Tracker[[Amount ]],Tracker[Type],C$1,Tracker[Date],"&gt;="&amp;EOMONTH($A2,-1)+1,Tracker[Date],"&lt;="&amp;EOMONTH($A2,0))</calculatedColumnFormula>
    </tableColumn>
    <tableColumn id="9" xr3:uid="{F6955D08-7517-4B92-80B4-03A2BA4137EC}" name="Income" dataDxfId="26">
      <calculatedColumnFormula>SUM(Table6[[#This Row],[Salary Income]:[Other Income]])</calculatedColumnFormula>
    </tableColumn>
    <tableColumn id="4" xr3:uid="{EB9F0FF5-6308-4208-8626-0C7D2A38F382}" name="Expense">
      <calculatedColumnFormula>SUMIFS(Tracker[[Amount ]],Tracker[Type],E$1,Tracker[Date],"&gt;="&amp;EOMONTH($A2,-1)+1,Tracker[Date],"&lt;="&amp;EOMONTH($A2,0))</calculatedColumnFormula>
    </tableColumn>
    <tableColumn id="7" xr3:uid="{D24AADC4-E6A8-45EC-8D88-C5C340D7D4E6}" name="Subscriptions" dataDxfId="25">
      <calculatedColumnFormula>SUMIFS(
    Subscriptions[Monthly Cost],
    Subscriptions[Period Renewal Date],"&gt;="&amp;EOMONTH(A2,-1)+1,
    Subscriptions[Period Renewal Date],"&lt;"&amp;EOMONTH(A2,0)+1
)</calculatedColumnFormula>
    </tableColumn>
    <tableColumn id="8" xr3:uid="{7BE3B0A3-D25D-4AA2-BF77-A9D549CF4618}" name="Expenses" dataDxfId="24">
      <calculatedColumnFormula>Table6[[#This Row],[Expense]]+Table6[[#This Row],[Subscriptions]]</calculatedColumnFormula>
    </tableColumn>
    <tableColumn id="5" xr3:uid="{B5853B98-B7E1-482E-8763-9187846B1724}" name="Savings">
      <calculatedColumnFormula>MAX(Table6[[#This Row],[Income]]-Table6[[#This Row],[Expenses]],0)</calculatedColumnFormula>
    </tableColumn>
    <tableColumn id="6" xr3:uid="{DBCBE24D-6B13-46B4-8641-F9E0591E75CC}" name="Savings Rate" dataDxfId="23">
      <calculatedColumnFormula>IFERROR(Table6[[#This Row],[Savings]]/Table6[[#This Row],[Income]],0)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7"/>
  <sheetViews>
    <sheetView showGridLines="0" tabSelected="1" workbookViewId="0">
      <selection activeCell="C35" sqref="C35"/>
    </sheetView>
  </sheetViews>
  <sheetFormatPr defaultRowHeight="14.5" x14ac:dyDescent="0.35"/>
  <cols>
    <col min="1" max="1" width="16.08984375" bestFit="1" customWidth="1"/>
    <col min="2" max="2" width="9.453125" bestFit="1" customWidth="1"/>
    <col min="3" max="3" width="8.90625" style="51" bestFit="1" customWidth="1"/>
    <col min="4" max="4" width="9.453125" bestFit="1" customWidth="1"/>
    <col min="5" max="5" width="17.54296875" bestFit="1" customWidth="1"/>
    <col min="6" max="6" width="13.36328125" bestFit="1" customWidth="1"/>
    <col min="7" max="7" width="12.6328125" bestFit="1" customWidth="1"/>
    <col min="9" max="9" width="10.453125" bestFit="1" customWidth="1"/>
    <col min="12" max="12" width="2.1796875" customWidth="1"/>
    <col min="13" max="13" width="13.453125" bestFit="1" customWidth="1"/>
    <col min="14" max="14" width="13.453125" style="32" customWidth="1"/>
    <col min="20" max="20" width="2.1796875" customWidth="1"/>
    <col min="21" max="21" width="16.08984375" bestFit="1" customWidth="1"/>
    <col min="22" max="22" width="9.54296875" bestFit="1" customWidth="1"/>
  </cols>
  <sheetData>
    <row r="1" spans="1:24" ht="26" x14ac:dyDescent="0.6">
      <c r="A1" s="11"/>
      <c r="B1" s="12" t="s">
        <v>18</v>
      </c>
      <c r="C1" s="54"/>
      <c r="D1" s="13"/>
      <c r="E1" s="13"/>
      <c r="F1" s="13"/>
      <c r="G1" s="13"/>
      <c r="H1" s="13"/>
      <c r="I1" s="13"/>
      <c r="J1" s="13"/>
      <c r="K1" s="13"/>
      <c r="L1" s="14"/>
      <c r="M1" s="14"/>
      <c r="N1" s="65"/>
      <c r="O1" s="14"/>
      <c r="P1" s="14"/>
      <c r="Q1" s="14"/>
      <c r="R1" s="14"/>
      <c r="S1" s="14"/>
      <c r="T1" s="14"/>
      <c r="U1" s="14"/>
      <c r="V1" s="14"/>
      <c r="W1" s="14" t="s">
        <v>75</v>
      </c>
    </row>
    <row r="2" spans="1:24" s="9" customFormat="1" ht="14.5" customHeight="1" x14ac:dyDescent="0.6">
      <c r="A2" s="5"/>
      <c r="B2" s="6"/>
      <c r="C2" s="55"/>
      <c r="D2" s="7"/>
      <c r="E2" s="7"/>
      <c r="F2" s="7"/>
      <c r="G2" s="7"/>
      <c r="H2" s="7"/>
      <c r="I2" s="7"/>
      <c r="J2" s="7"/>
      <c r="K2" s="7"/>
      <c r="L2" s="8"/>
      <c r="M2" s="8"/>
      <c r="N2" s="66"/>
      <c r="O2" s="8"/>
      <c r="P2" s="8"/>
      <c r="Q2" s="8"/>
    </row>
    <row r="3" spans="1:24" x14ac:dyDescent="0.35">
      <c r="A3" s="10"/>
      <c r="B3" s="10"/>
      <c r="C3" s="53"/>
      <c r="D3" s="10"/>
      <c r="E3" s="10"/>
      <c r="F3" s="10"/>
      <c r="G3" s="10"/>
      <c r="H3" s="10"/>
      <c r="I3" s="10"/>
      <c r="J3" s="10"/>
      <c r="K3" s="10"/>
      <c r="L3" s="10"/>
      <c r="M3" s="10"/>
      <c r="N3" s="33"/>
      <c r="O3" s="10"/>
      <c r="P3" s="10"/>
      <c r="Q3" s="10"/>
      <c r="R3" s="10"/>
      <c r="S3" s="10"/>
      <c r="T3" s="10"/>
      <c r="U3" s="10"/>
      <c r="V3" s="10"/>
      <c r="W3" s="10"/>
    </row>
    <row r="4" spans="1:24" x14ac:dyDescent="0.35">
      <c r="A4" s="19" t="s">
        <v>35</v>
      </c>
      <c r="B4" s="64">
        <v>46204</v>
      </c>
      <c r="C4" s="53"/>
      <c r="D4" s="10"/>
      <c r="E4" s="78" t="str">
        <f>"Savings Rate: "&amp;TEXT(IFERROR(C29/C12,0),"0.0%")</f>
        <v>Savings Rate: 65.9%</v>
      </c>
      <c r="F4" s="30"/>
      <c r="G4" s="77" t="str">
        <f>"Remaining Budget: "&amp;TEXT(D26-C26,"$#,##0.00")</f>
        <v>Remaining Budget: $1,076.93</v>
      </c>
      <c r="H4" s="10"/>
      <c r="I4" s="10"/>
      <c r="J4" s="10"/>
      <c r="K4" s="19" t="str">
        <f>"Net Savings: " &amp;TEXT(C29,"$#,##0.00")</f>
        <v>Net Savings: $1,551.49</v>
      </c>
      <c r="L4" s="10"/>
      <c r="M4" s="10"/>
      <c r="N4" s="33"/>
      <c r="O4" s="19" t="str">
        <f>"Monthly Income: " &amp;TEXT(C12,"$#,##0.00")</f>
        <v>Monthly Income: $2,354.56</v>
      </c>
      <c r="P4" s="10"/>
      <c r="Q4" s="33"/>
      <c r="R4" s="10"/>
      <c r="S4" s="10"/>
      <c r="T4" s="19" t="str">
        <f>"Monthly Expenses: " &amp;TEXT(C26,"$#,##0.00")</f>
        <v>Monthly Expenses: $803.07</v>
      </c>
      <c r="U4" s="10"/>
      <c r="V4" s="33"/>
      <c r="W4" s="10"/>
      <c r="X4" s="51"/>
    </row>
    <row r="5" spans="1:24" x14ac:dyDescent="0.35">
      <c r="A5" s="10"/>
      <c r="B5" s="10"/>
      <c r="C5" s="53"/>
      <c r="D5" s="10"/>
      <c r="E5" s="10"/>
      <c r="F5" s="10"/>
      <c r="G5" s="10"/>
      <c r="H5" s="10"/>
      <c r="I5" s="10"/>
      <c r="J5" s="10"/>
      <c r="K5" s="10"/>
      <c r="L5" s="10"/>
      <c r="M5" s="10"/>
      <c r="N5" s="33"/>
      <c r="O5" s="10"/>
      <c r="P5" s="10"/>
      <c r="Q5" s="10"/>
      <c r="R5" s="10"/>
      <c r="S5" s="10"/>
      <c r="T5" s="10"/>
      <c r="U5" s="10"/>
      <c r="V5" s="10"/>
      <c r="W5" s="10"/>
    </row>
    <row r="7" spans="1:24" x14ac:dyDescent="0.35">
      <c r="A7" s="79" t="str">
        <f xml:space="preserve"> "Breakdown - " &amp; TEXT(B4, "mmmm yyyy")</f>
        <v>Breakdown - July 2026</v>
      </c>
      <c r="B7" s="79"/>
      <c r="C7" s="79"/>
      <c r="D7" s="79"/>
      <c r="E7" s="79"/>
      <c r="F7" s="79"/>
      <c r="G7" s="79"/>
      <c r="I7" s="79" t="str">
        <f xml:space="preserve"> "Summary - " &amp; TEXT(B4, "mmmm yyyy")</f>
        <v>Summary - July 2026</v>
      </c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</row>
    <row r="9" spans="1:24" ht="14.5" customHeight="1" x14ac:dyDescent="0.45">
      <c r="A9" s="16" t="s">
        <v>8</v>
      </c>
      <c r="B9" s="15"/>
      <c r="C9" s="56" t="s">
        <v>21</v>
      </c>
      <c r="D9" s="16" t="s">
        <v>11</v>
      </c>
      <c r="E9" s="16" t="s">
        <v>20</v>
      </c>
      <c r="F9" s="16" t="s">
        <v>28</v>
      </c>
      <c r="G9" s="16" t="s">
        <v>23</v>
      </c>
      <c r="H9" s="46"/>
      <c r="I9" s="47"/>
      <c r="J9" s="39"/>
      <c r="K9" s="39"/>
      <c r="L9" s="39"/>
      <c r="M9" s="48"/>
      <c r="N9" s="67"/>
      <c r="O9" s="40"/>
      <c r="P9" s="50"/>
      <c r="Q9" s="61"/>
      <c r="R9" s="39"/>
      <c r="S9" s="39"/>
      <c r="T9" s="39"/>
      <c r="U9" s="39"/>
      <c r="V9" s="39"/>
      <c r="W9" s="40"/>
    </row>
    <row r="10" spans="1:24" x14ac:dyDescent="0.35">
      <c r="A10" t="s">
        <v>16</v>
      </c>
      <c r="C10" s="51">
        <f>SUMIFS(Tracker[[Amount ]],Tracker[Type],A10,Tracker[Date],"&gt;="&amp;EOMONTH($B$4,-1)+1,Tracker[Date],"&lt;="&amp;EOMONTH($B$4,0))</f>
        <v>2347.5100000000002</v>
      </c>
      <c r="D10" s="23">
        <f>SUMIFS(Budget[Budget],Budget[Category],$A10,Budget[Date],$B$4)</f>
        <v>3000</v>
      </c>
      <c r="E10" s="23">
        <f>C10-D10</f>
        <v>-652.48999999999978</v>
      </c>
      <c r="F10" s="20">
        <f>IFERROR(C10/D10,0)</f>
        <v>0.78250333333333344</v>
      </c>
      <c r="G10" s="1" t="str">
        <f>IF(C10&gt;=D10,"Goal Met", IF(C10&gt;=D10*0.9,"Near Goal","Below Goal"))</f>
        <v>Below Goal</v>
      </c>
      <c r="I10" s="41"/>
      <c r="M10" t="str" cm="1">
        <f t="array" ref="M10:N20">_xlfn._xlws.SORT(_xlfn._xlws.FILTER(_xlfn.CHOOSECOLS(A15:C25, 1, 3), C15:C25), 2, -1)</f>
        <v>Utilities</v>
      </c>
      <c r="N10" s="2">
        <v>200</v>
      </c>
      <c r="O10" s="42"/>
      <c r="P10" s="50"/>
      <c r="Q10" s="41"/>
      <c r="W10" s="42"/>
    </row>
    <row r="11" spans="1:24" x14ac:dyDescent="0.35">
      <c r="A11" s="4" t="s">
        <v>12</v>
      </c>
      <c r="B11" s="4"/>
      <c r="C11" s="57">
        <f>SUMIFS(Tracker[[Amount ]],Tracker[Type],A11,Tracker[Date],"&gt;="&amp;EOMONTH($B$4,-1)+1,Tracker[Date],"&lt;="&amp;EOMONTH($B$4,0))</f>
        <v>7.05</v>
      </c>
      <c r="D11" s="24">
        <f>SUMIFS(Budget[Budget],Budget[Category],$A11,Budget[Date],$B$4)</f>
        <v>20</v>
      </c>
      <c r="E11" s="24">
        <f>C11-D11</f>
        <v>-12.95</v>
      </c>
      <c r="F11" s="22">
        <f>IFERROR(C11/D11,0)</f>
        <v>0.35249999999999998</v>
      </c>
      <c r="G11" s="31" t="str">
        <f>IF(C11&gt;=D11,"Goal Met", IF(C11&gt;=D11*0.9,"Near Goal","Below Goal"))</f>
        <v>Below Goal</v>
      </c>
      <c r="I11" s="41"/>
      <c r="M11" t="str">
        <v>Leisure</v>
      </c>
      <c r="N11" s="2">
        <v>131</v>
      </c>
      <c r="O11" s="42"/>
      <c r="P11" s="50"/>
      <c r="Q11" s="41"/>
      <c r="W11" s="42"/>
    </row>
    <row r="12" spans="1:24" x14ac:dyDescent="0.35">
      <c r="A12" s="1" t="s">
        <v>19</v>
      </c>
      <c r="B12" s="1"/>
      <c r="C12" s="58">
        <f>SUM(C10:C11)</f>
        <v>2354.5600000000004</v>
      </c>
      <c r="D12" s="25">
        <f>SUM(D10:D11)</f>
        <v>3020</v>
      </c>
      <c r="E12" s="25">
        <f>SUM(E10:E11)</f>
        <v>-665.43999999999983</v>
      </c>
      <c r="F12" s="26">
        <f>IFERROR(C12/D12,0)</f>
        <v>0.77965562913907294</v>
      </c>
      <c r="G12" s="1"/>
      <c r="I12" s="41"/>
      <c r="M12" t="str">
        <v>Debt</v>
      </c>
      <c r="N12" s="2">
        <v>130</v>
      </c>
      <c r="O12" s="52"/>
      <c r="P12" s="50"/>
      <c r="Q12" s="41"/>
      <c r="W12" s="42"/>
    </row>
    <row r="13" spans="1:24" x14ac:dyDescent="0.35">
      <c r="D13" s="23"/>
      <c r="E13" s="23"/>
      <c r="I13" s="41"/>
      <c r="M13" t="str">
        <v>Insurance</v>
      </c>
      <c r="N13" s="2">
        <v>120</v>
      </c>
      <c r="O13" s="52"/>
      <c r="P13" s="50"/>
      <c r="Q13" s="41"/>
      <c r="W13" s="42"/>
    </row>
    <row r="14" spans="1:24" ht="15.5" x14ac:dyDescent="0.35">
      <c r="A14" s="35" t="s">
        <v>9</v>
      </c>
      <c r="B14" s="36"/>
      <c r="C14" s="59" t="s">
        <v>21</v>
      </c>
      <c r="D14" s="37" t="s">
        <v>11</v>
      </c>
      <c r="E14" s="37" t="s">
        <v>20</v>
      </c>
      <c r="F14" s="35" t="s">
        <v>22</v>
      </c>
      <c r="G14" s="35" t="s">
        <v>23</v>
      </c>
      <c r="I14" s="41"/>
      <c r="M14" t="str">
        <v>Housing</v>
      </c>
      <c r="N14" s="2">
        <v>100</v>
      </c>
      <c r="O14" s="52"/>
      <c r="P14" s="50"/>
      <c r="Q14" s="41"/>
      <c r="W14" s="42"/>
    </row>
    <row r="15" spans="1:24" x14ac:dyDescent="0.35">
      <c r="A15" t="s">
        <v>25</v>
      </c>
      <c r="C15" s="51">
        <f>SUMIFS(Tracker[[Amount ]],Tracker[Category],A15,Tracker[Date],"&gt;="&amp;EOMONTH($B$4,-1)+1,Tracker[Date],"&lt;="&amp;EOMONTH($B$4,0))</f>
        <v>100</v>
      </c>
      <c r="D15" s="23">
        <f>SUMIFS(Budget[Budget],Budget[Category],$A15,Budget[Date],$B$4)</f>
        <v>0</v>
      </c>
      <c r="E15" s="23">
        <f>D15-C15</f>
        <v>-100</v>
      </c>
      <c r="F15" s="20">
        <f t="shared" ref="F15:F25" si="0">IFERROR(C15/D15,0)</f>
        <v>0</v>
      </c>
      <c r="G15" s="1" t="str">
        <f>IF(C15&gt;D15,"Over Budget", IF(C15&gt;=D15*0.9,"On Budget","Under Budget"))</f>
        <v>Over Budget</v>
      </c>
      <c r="I15" s="41"/>
      <c r="M15" t="str">
        <v>Subscriptions</v>
      </c>
      <c r="N15" s="2">
        <v>43.980000000000004</v>
      </c>
      <c r="O15" s="52"/>
      <c r="P15" s="50"/>
      <c r="Q15" s="41"/>
      <c r="W15" s="42"/>
    </row>
    <row r="16" spans="1:24" x14ac:dyDescent="0.35">
      <c r="A16" t="s">
        <v>29</v>
      </c>
      <c r="C16" s="51">
        <f>SUMIFS(Tracker[[Amount ]],Tracker[Category],A16,Tracker[Date],"&gt;="&amp;EOMONTH($B$4,-1)+1,Tracker[Date],"&lt;="&amp;EOMONTH($B$4,0))</f>
        <v>200</v>
      </c>
      <c r="D16" s="23">
        <f>SUMIFS(Budget[Budget],Budget[Category],$A16,Budget[Date],$B$4)</f>
        <v>0</v>
      </c>
      <c r="E16" s="23">
        <f t="shared" ref="E16:E24" si="1">D16-C16</f>
        <v>-200</v>
      </c>
      <c r="F16" s="20">
        <f t="shared" si="0"/>
        <v>0</v>
      </c>
      <c r="G16" s="1" t="str">
        <f t="shared" ref="G16:G25" si="2">IF(C16&gt;D16,"Over Budget", IF(C16&gt;=D16*0.9,"On Budget","Under Budget"))</f>
        <v>Over Budget</v>
      </c>
      <c r="I16" s="41"/>
      <c r="M16" t="str">
        <v xml:space="preserve">Miscellaneous  </v>
      </c>
      <c r="N16" s="2">
        <v>34.56</v>
      </c>
      <c r="O16" s="52"/>
      <c r="P16" s="50"/>
      <c r="Q16" s="41"/>
      <c r="W16" s="42"/>
    </row>
    <row r="17" spans="1:23" x14ac:dyDescent="0.35">
      <c r="A17" t="s">
        <v>6</v>
      </c>
      <c r="C17" s="51">
        <f>SUMIFS(Tracker[[Amount ]],Tracker[Category],A17,Tracker[Date],"&gt;="&amp;EOMONTH($B$4,-1)+1,Tracker[Date],"&lt;="&amp;EOMONTH($B$4,0))</f>
        <v>26.54</v>
      </c>
      <c r="D17" s="23">
        <f>SUMIFS(Budget[Budget],Budget[Category],$A17,Budget[Date],$B$4)</f>
        <v>500</v>
      </c>
      <c r="E17" s="23">
        <f t="shared" si="1"/>
        <v>473.46</v>
      </c>
      <c r="F17" s="20">
        <f t="shared" si="0"/>
        <v>5.3079999999999995E-2</v>
      </c>
      <c r="G17" s="1" t="str">
        <f t="shared" si="2"/>
        <v>Under Budget</v>
      </c>
      <c r="I17" s="41"/>
      <c r="M17" t="str">
        <v>Transportation</v>
      </c>
      <c r="N17" s="2">
        <v>26.54</v>
      </c>
      <c r="O17" s="52"/>
      <c r="P17" s="50"/>
      <c r="Q17" s="41"/>
      <c r="W17" s="42"/>
    </row>
    <row r="18" spans="1:23" x14ac:dyDescent="0.35">
      <c r="A18" t="s">
        <v>30</v>
      </c>
      <c r="C18" s="51">
        <f>SUMIFS(Tracker[[Amount ]],Tracker[Category],A18,Tracker[Date],"&gt;="&amp;EOMONTH($B$4,-1)+1,Tracker[Date],"&lt;="&amp;EOMONTH($B$4,0))</f>
        <v>120</v>
      </c>
      <c r="D18" s="23">
        <f>SUMIFS(Budget[Budget],Budget[Category],$A18,Budget[Date],$B$4)</f>
        <v>120</v>
      </c>
      <c r="E18" s="23">
        <f t="shared" si="1"/>
        <v>0</v>
      </c>
      <c r="F18" s="20">
        <f t="shared" si="0"/>
        <v>1</v>
      </c>
      <c r="G18" s="1" t="str">
        <f t="shared" si="2"/>
        <v>On Budget</v>
      </c>
      <c r="I18" s="41"/>
      <c r="M18" t="str">
        <v>Groceries</v>
      </c>
      <c r="N18" s="2">
        <v>6.99</v>
      </c>
      <c r="O18" s="52"/>
      <c r="P18" s="50"/>
      <c r="Q18" s="41"/>
      <c r="W18" s="42"/>
    </row>
    <row r="19" spans="1:23" x14ac:dyDescent="0.35">
      <c r="A19" t="s">
        <v>31</v>
      </c>
      <c r="C19" s="51">
        <f>SUMIFS(Tracker[[Amount ]],Tracker[Category],A19,Tracker[Date],"&gt;="&amp;EOMONTH($B$4,-1)+1,Tracker[Date],"&lt;="&amp;EOMONTH($B$4,0))</f>
        <v>6.99</v>
      </c>
      <c r="D19" s="23">
        <f>SUMIFS(Budget[Budget],Budget[Category],$A19,Budget[Date],$B$4)</f>
        <v>100</v>
      </c>
      <c r="E19" s="23">
        <f t="shared" si="1"/>
        <v>93.01</v>
      </c>
      <c r="F19" s="20">
        <f t="shared" si="0"/>
        <v>6.9900000000000004E-2</v>
      </c>
      <c r="G19" s="1" t="str">
        <f t="shared" si="2"/>
        <v>Under Budget</v>
      </c>
      <c r="I19" s="41"/>
      <c r="M19" t="str">
        <v>Healthcare</v>
      </c>
      <c r="N19" s="2">
        <v>5</v>
      </c>
      <c r="O19" s="52"/>
      <c r="P19" s="50"/>
      <c r="Q19" s="41"/>
      <c r="W19" s="42"/>
    </row>
    <row r="20" spans="1:23" x14ac:dyDescent="0.35">
      <c r="A20" t="s">
        <v>71</v>
      </c>
      <c r="C20" s="51">
        <f>SUMIFS(Tracker[[Amount ]],Tracker[Category],A20,Tracker[Date],"&gt;="&amp;EOMONTH($B$4,-1)+1,Tracker[Date],"&lt;="&amp;EOMONTH($B$4,0))</f>
        <v>131</v>
      </c>
      <c r="D20" s="23">
        <f>SUMIFS(Budget[Budget],Budget[Category],$A20,Budget[Date],$B$4)</f>
        <v>200</v>
      </c>
      <c r="E20" s="23">
        <f>D20-C20</f>
        <v>69</v>
      </c>
      <c r="F20" s="20">
        <f>IFERROR(C20/D20,0)</f>
        <v>0.65500000000000003</v>
      </c>
      <c r="G20" s="1" t="str">
        <f t="shared" si="2"/>
        <v>Under Budget</v>
      </c>
      <c r="I20" s="41"/>
      <c r="M20" t="str">
        <v>Education</v>
      </c>
      <c r="N20" s="2">
        <v>5</v>
      </c>
      <c r="O20" s="52"/>
      <c r="P20" s="50"/>
      <c r="Q20" s="41"/>
      <c r="W20" s="42"/>
    </row>
    <row r="21" spans="1:23" x14ac:dyDescent="0.35">
      <c r="A21" t="s">
        <v>33</v>
      </c>
      <c r="C21" s="51">
        <f>SUMIFS(Tracker[[Amount ]],Tracker[Category],A21,Tracker[Date],"&gt;="&amp;EOMONTH($B$4,-1)+1,Tracker[Date],"&lt;="&amp;EOMONTH($B$4,0))</f>
        <v>5</v>
      </c>
      <c r="D21" s="23">
        <f>SUMIFS(Budget[Budget],Budget[Category],$A21,Budget[Date],$B$4)</f>
        <v>50</v>
      </c>
      <c r="E21" s="23">
        <f t="shared" si="1"/>
        <v>45</v>
      </c>
      <c r="F21" s="20">
        <f t="shared" si="0"/>
        <v>0.1</v>
      </c>
      <c r="G21" s="1" t="str">
        <f t="shared" si="2"/>
        <v>Under Budget</v>
      </c>
      <c r="I21" s="41"/>
      <c r="M21" s="49" t="s">
        <v>19</v>
      </c>
      <c r="N21" s="70">
        <f>SUM(N10:N20)</f>
        <v>803.06999999999994</v>
      </c>
      <c r="O21" s="42"/>
      <c r="P21" s="50"/>
      <c r="Q21" s="41"/>
      <c r="W21" s="42"/>
    </row>
    <row r="22" spans="1:23" x14ac:dyDescent="0.35">
      <c r="A22" t="s">
        <v>34</v>
      </c>
      <c r="C22" s="51">
        <f>SUMIFS(Tracker[[Amount ]],Tracker[Category],A22,Tracker[Date],"&gt;="&amp;EOMONTH($B$4,-1)+1,Tracker[Date],"&lt;="&amp;EOMONTH($B$4,0))</f>
        <v>130</v>
      </c>
      <c r="D22" s="23">
        <f>SUMIFS(Budget[Budget],Budget[Category],$A22,Budget[Date],$B$4)</f>
        <v>800</v>
      </c>
      <c r="E22" s="23">
        <f t="shared" si="1"/>
        <v>670</v>
      </c>
      <c r="F22" s="20">
        <f t="shared" si="0"/>
        <v>0.16250000000000001</v>
      </c>
      <c r="G22" s="1" t="str">
        <f t="shared" si="2"/>
        <v>Under Budget</v>
      </c>
      <c r="I22" s="43"/>
      <c r="J22" s="44"/>
      <c r="K22" s="44"/>
      <c r="L22" s="44"/>
      <c r="M22" s="44"/>
      <c r="N22" s="68"/>
      <c r="O22" s="45"/>
      <c r="Q22" s="43"/>
      <c r="R22" s="44"/>
      <c r="S22" s="44"/>
      <c r="T22" s="44"/>
      <c r="U22" s="44"/>
      <c r="V22" s="44"/>
      <c r="W22" s="45"/>
    </row>
    <row r="23" spans="1:23" x14ac:dyDescent="0.35">
      <c r="A23" t="s">
        <v>48</v>
      </c>
      <c r="C23" s="51">
        <f>SUMIFS(Tracker[[Amount ]],Tracker[Category],A23,Tracker[Date],"&gt;="&amp;EOMONTH($B$4,-1)+1,Tracker[Date],"&lt;="&amp;EOMONTH($B$4,0))</f>
        <v>5</v>
      </c>
      <c r="D23" s="23">
        <f>SUMIFS(Budget[Budget],Budget[Category],$A23,Budget[Date],$B$4)</f>
        <v>20</v>
      </c>
      <c r="E23" s="23">
        <f t="shared" si="1"/>
        <v>15</v>
      </c>
      <c r="F23" s="20">
        <f t="shared" si="0"/>
        <v>0.25</v>
      </c>
      <c r="G23" s="1" t="str">
        <f>IF(C23&gt;D23,"Over Budget", IF(C23&gt;=D23*0.9,"On Budget","Under Budget"))</f>
        <v>Under Budget</v>
      </c>
    </row>
    <row r="24" spans="1:23" x14ac:dyDescent="0.35">
      <c r="A24" t="s">
        <v>17</v>
      </c>
      <c r="C24" s="51">
        <f>SUMIFS(
    Subscriptions[Monthly Cost],
    Subscriptions[Period Renewal Date],"&gt;="&amp;EOMONTH($B$4,-1)+1,
    Subscriptions[Period Renewal Date],"&lt;"&amp;EOMONTH($B$4,0)+1
)</f>
        <v>43.980000000000004</v>
      </c>
      <c r="D24" s="23">
        <f>SUMIFS(Budget[Budget],Budget[Category],$A24,Budget[Date],$B$4)</f>
        <v>40</v>
      </c>
      <c r="E24" s="23">
        <f t="shared" si="1"/>
        <v>-3.980000000000004</v>
      </c>
      <c r="F24" s="20">
        <f>IFERROR(C24/D24,0)</f>
        <v>1.0995000000000001</v>
      </c>
      <c r="G24" s="1" t="str">
        <f>IF(C24&gt;D24,"Over Budget", IF(C24&gt;=D24*0.9,"On Budget","Under Budget"))</f>
        <v>Over Budget</v>
      </c>
      <c r="I24" s="38"/>
      <c r="J24" s="39"/>
      <c r="K24" s="39"/>
      <c r="L24" s="39"/>
      <c r="M24" s="39"/>
      <c r="N24" s="69"/>
      <c r="O24" s="40"/>
      <c r="Q24" s="38"/>
      <c r="R24" s="39"/>
      <c r="S24" s="39"/>
      <c r="T24" s="39"/>
      <c r="U24" s="39"/>
      <c r="V24" s="39"/>
      <c r="W24" s="40"/>
    </row>
    <row r="25" spans="1:23" x14ac:dyDescent="0.35">
      <c r="A25" s="4" t="s">
        <v>24</v>
      </c>
      <c r="B25" s="4"/>
      <c r="C25" s="57">
        <f>SUMIFS(Tracker[[Amount ]],Tracker[Category],A25,Tracker[Date],"&gt;="&amp;EOMONTH($B$4,-1)+1,Tracker[Date],"&lt;="&amp;EOMONTH($B$4,0))</f>
        <v>34.56</v>
      </c>
      <c r="D25" s="24">
        <f>SUMIFS(Budget[Budget],Budget[Category],$A25,Budget[Date],$B$4)</f>
        <v>50</v>
      </c>
      <c r="E25" s="24">
        <f>D25-C25</f>
        <v>15.439999999999998</v>
      </c>
      <c r="F25" s="22">
        <f t="shared" si="0"/>
        <v>0.69120000000000004</v>
      </c>
      <c r="G25" s="31" t="str">
        <f t="shared" si="2"/>
        <v>Under Budget</v>
      </c>
      <c r="I25" s="41"/>
      <c r="O25" s="42"/>
      <c r="Q25" s="41"/>
      <c r="W25" s="42"/>
    </row>
    <row r="26" spans="1:23" x14ac:dyDescent="0.35">
      <c r="A26" s="1" t="s">
        <v>19</v>
      </c>
      <c r="B26" s="1"/>
      <c r="C26" s="58">
        <f>SUM(C15:C25)</f>
        <v>803.06999999999994</v>
      </c>
      <c r="D26" s="25">
        <f>SUM(D15:D25)</f>
        <v>1880</v>
      </c>
      <c r="E26" s="25">
        <f>SUM(E15:E25)</f>
        <v>1076.93</v>
      </c>
      <c r="F26" s="26">
        <f>IFERROR(C26/D26,0)</f>
        <v>0.42716489361702126</v>
      </c>
      <c r="G26" s="26"/>
      <c r="I26" s="41"/>
      <c r="O26" s="42"/>
      <c r="Q26" s="41"/>
      <c r="V26" s="2"/>
      <c r="W26" s="42"/>
    </row>
    <row r="27" spans="1:23" x14ac:dyDescent="0.35">
      <c r="I27" s="41"/>
      <c r="O27" s="42"/>
      <c r="Q27" s="41"/>
      <c r="U27" t="str">
        <f>Budget!E2</f>
        <v>Debt Paydown</v>
      </c>
      <c r="V27" s="76">
        <f>Budget!F2</f>
        <v>0.6</v>
      </c>
      <c r="W27" s="42"/>
    </row>
    <row r="28" spans="1:23" ht="15.5" x14ac:dyDescent="0.35">
      <c r="A28" s="17" t="s">
        <v>10</v>
      </c>
      <c r="B28" s="18"/>
      <c r="C28" s="60" t="s">
        <v>21</v>
      </c>
      <c r="D28" s="17" t="s">
        <v>11</v>
      </c>
      <c r="E28" s="17" t="s">
        <v>20</v>
      </c>
      <c r="F28" s="17" t="s">
        <v>42</v>
      </c>
      <c r="G28" s="17" t="s">
        <v>23</v>
      </c>
      <c r="I28" s="41"/>
      <c r="O28" s="42"/>
      <c r="Q28" s="41"/>
      <c r="U28" t="str">
        <f>Budget!E3</f>
        <v>Emeregency Fund</v>
      </c>
      <c r="V28" s="76">
        <f>Budget!F3</f>
        <v>0.2</v>
      </c>
      <c r="W28" s="42"/>
    </row>
    <row r="29" spans="1:23" x14ac:dyDescent="0.35">
      <c r="A29" t="s">
        <v>36</v>
      </c>
      <c r="C29" s="51">
        <f>MAX(C12-C26,0)</f>
        <v>1551.4900000000005</v>
      </c>
      <c r="D29" s="27">
        <f>SUMIFS(Budget[Budget],Budget[Category],$A29,Budget[Date],$B$4)</f>
        <v>500</v>
      </c>
      <c r="E29" s="28">
        <f>C29-D29</f>
        <v>1051.4900000000005</v>
      </c>
      <c r="F29" s="29">
        <f>IFERROR(C29/D29,0)</f>
        <v>3.102980000000001</v>
      </c>
      <c r="G29" s="1" t="str">
        <f>IF(C29&gt;=D29,"Goal Met", IF(C29&gt;=D29*0.9,"Near Goal","Below Goal"))</f>
        <v>Goal Met</v>
      </c>
      <c r="I29" s="41"/>
      <c r="O29" s="42"/>
      <c r="Q29" s="41"/>
      <c r="U29" t="str">
        <f>Budget!E4</f>
        <v>Investments</v>
      </c>
      <c r="V29" s="76">
        <f>Budget!F4</f>
        <v>0.2</v>
      </c>
      <c r="W29" s="42"/>
    </row>
    <row r="30" spans="1:23" x14ac:dyDescent="0.35">
      <c r="A30" t="s">
        <v>37</v>
      </c>
      <c r="C30" s="51">
        <f>$C$29*Budget!F2</f>
        <v>930.89400000000023</v>
      </c>
      <c r="D30" s="28">
        <f>$D$29*Budget!F2</f>
        <v>300</v>
      </c>
      <c r="E30" s="28">
        <f>C30-D30</f>
        <v>630.89400000000023</v>
      </c>
      <c r="F30" s="20">
        <f>IFERROR(C30/D30,0)</f>
        <v>3.102980000000001</v>
      </c>
      <c r="G30" s="1" t="str">
        <f>IF(C30&gt;=D30,"Goal Met", IF(C30&gt;=D30*0.9,"Near Goal","Below Goal"))</f>
        <v>Goal Met</v>
      </c>
      <c r="I30" s="41"/>
      <c r="O30" s="42"/>
      <c r="Q30" s="41"/>
      <c r="V30" s="2"/>
      <c r="W30" s="42"/>
    </row>
    <row r="31" spans="1:23" x14ac:dyDescent="0.35">
      <c r="A31" t="s">
        <v>38</v>
      </c>
      <c r="C31" s="51">
        <f>$C$29*Budget!F3</f>
        <v>310.29800000000012</v>
      </c>
      <c r="D31" s="28">
        <f>$D$29*Budget!F3</f>
        <v>100</v>
      </c>
      <c r="E31" s="28">
        <f>C31-D31</f>
        <v>210.29800000000012</v>
      </c>
      <c r="F31" s="20">
        <f>IFERROR(C31/D31,0)</f>
        <v>3.102980000000001</v>
      </c>
      <c r="G31" s="1" t="str">
        <f>IF(C31&gt;=D31,"Goal Met", IF(C31&gt;=D31*0.9,"Near Goal","Below Goal"))</f>
        <v>Goal Met</v>
      </c>
      <c r="I31" s="41"/>
      <c r="O31" s="42"/>
      <c r="Q31" s="41"/>
      <c r="V31" s="2"/>
      <c r="W31" s="42"/>
    </row>
    <row r="32" spans="1:23" x14ac:dyDescent="0.35">
      <c r="A32" t="s">
        <v>39</v>
      </c>
      <c r="C32" s="51">
        <f>$C$29*Budget!F4</f>
        <v>310.29800000000012</v>
      </c>
      <c r="D32" s="28">
        <f>$D$29*Budget!F4</f>
        <v>100</v>
      </c>
      <c r="E32" s="28">
        <f>C32-D32</f>
        <v>210.29800000000012</v>
      </c>
      <c r="F32" s="20">
        <f>IFERROR(C32/D32,0)</f>
        <v>3.102980000000001</v>
      </c>
      <c r="G32" s="1" t="str">
        <f>IF(C32&gt;=D32,"Goal Met", IF(C32&gt;=D32*0.9,"Near Goal","Below Goal"))</f>
        <v>Goal Met</v>
      </c>
      <c r="I32" s="41"/>
      <c r="O32" s="42"/>
      <c r="Q32" s="41"/>
      <c r="V32" s="2"/>
      <c r="W32" s="42"/>
    </row>
    <row r="33" spans="1:23" x14ac:dyDescent="0.35">
      <c r="A33" s="1"/>
      <c r="I33" s="41"/>
      <c r="O33" s="42"/>
      <c r="Q33" s="41"/>
      <c r="T33" s="73"/>
      <c r="U33" t="str" cm="1">
        <f t="array" ref="U33:V35">_xlfn._xlws.SORT(_xlfn.CHOOSECOLS(A30:C32,1,3),2,-1)</f>
        <v>Debt Paydown</v>
      </c>
      <c r="V33" s="2">
        <v>930.89400000000023</v>
      </c>
      <c r="W33" s="42"/>
    </row>
    <row r="34" spans="1:23" x14ac:dyDescent="0.35">
      <c r="I34" s="41"/>
      <c r="O34" s="42"/>
      <c r="Q34" s="41"/>
      <c r="T34" s="74"/>
      <c r="U34" t="str">
        <v>Emeregency Fund</v>
      </c>
      <c r="V34" s="2">
        <v>310.29800000000012</v>
      </c>
      <c r="W34" s="42"/>
    </row>
    <row r="35" spans="1:23" x14ac:dyDescent="0.35">
      <c r="I35" s="41"/>
      <c r="O35" s="42"/>
      <c r="Q35" s="41"/>
      <c r="T35" s="75"/>
      <c r="U35" t="str">
        <v>Investments</v>
      </c>
      <c r="V35" s="2">
        <v>310.29800000000012</v>
      </c>
      <c r="W35" s="42"/>
    </row>
    <row r="36" spans="1:23" x14ac:dyDescent="0.35">
      <c r="I36" s="41"/>
      <c r="O36" s="42"/>
      <c r="Q36" s="41"/>
      <c r="U36" s="71" t="s">
        <v>19</v>
      </c>
      <c r="V36" s="72">
        <f>SUM(V33:V35)</f>
        <v>1551.4900000000007</v>
      </c>
      <c r="W36" s="42"/>
    </row>
    <row r="37" spans="1:23" x14ac:dyDescent="0.35">
      <c r="I37" s="43"/>
      <c r="J37" s="44"/>
      <c r="K37" s="44"/>
      <c r="L37" s="44"/>
      <c r="M37" s="44"/>
      <c r="N37" s="68"/>
      <c r="O37" s="45"/>
      <c r="Q37" s="43"/>
      <c r="R37" s="44"/>
      <c r="S37" s="44"/>
      <c r="T37" s="44"/>
      <c r="U37" s="44"/>
      <c r="V37" s="44"/>
      <c r="W37" s="45"/>
    </row>
  </sheetData>
  <mergeCells count="2">
    <mergeCell ref="A7:G7"/>
    <mergeCell ref="I7:W7"/>
  </mergeCells>
  <conditionalFormatting sqref="F10:F11">
    <cfRule type="cellIs" dxfId="22" priority="3" operator="greaterThan">
      <formula>0.99</formula>
    </cfRule>
  </conditionalFormatting>
  <conditionalFormatting sqref="F15:F25">
    <cfRule type="cellIs" dxfId="21" priority="39" operator="greaterThan">
      <formula>0.99</formula>
    </cfRule>
  </conditionalFormatting>
  <conditionalFormatting sqref="G10:G11">
    <cfRule type="cellIs" dxfId="20" priority="36" operator="equal">
      <formula>"Below Goal"</formula>
    </cfRule>
    <cfRule type="cellIs" dxfId="19" priority="37" operator="equal">
      <formula>"Near Goal"</formula>
    </cfRule>
    <cfRule type="cellIs" dxfId="18" priority="38" operator="equal">
      <formula>"Goal Met"</formula>
    </cfRule>
  </conditionalFormatting>
  <conditionalFormatting sqref="G15:G25">
    <cfRule type="cellIs" dxfId="17" priority="31" operator="equal">
      <formula>"Over Budget"</formula>
    </cfRule>
    <cfRule type="cellIs" dxfId="16" priority="32" operator="equal">
      <formula>"Under Budget"</formula>
    </cfRule>
    <cfRule type="cellIs" dxfId="15" priority="33" operator="equal">
      <formula>"On Budget"</formula>
    </cfRule>
  </conditionalFormatting>
  <conditionalFormatting sqref="G29:G32">
    <cfRule type="cellIs" dxfId="14" priority="28" operator="equal">
      <formula>"Goal Met"</formula>
    </cfRule>
    <cfRule type="cellIs" dxfId="13" priority="29" operator="equal">
      <formula>"Near Goal"</formula>
    </cfRule>
    <cfRule type="cellIs" dxfId="12" priority="30" operator="equal">
      <formula>"Below Goal"</formula>
    </cfRule>
  </conditionalFormatting>
  <conditionalFormatting sqref="L10">
    <cfRule type="expression" dxfId="11" priority="4">
      <formula>$N$10&gt;0</formula>
    </cfRule>
  </conditionalFormatting>
  <conditionalFormatting sqref="L11">
    <cfRule type="expression" dxfId="10" priority="5">
      <formula>$N$11&gt;0</formula>
    </cfRule>
  </conditionalFormatting>
  <conditionalFormatting sqref="L12">
    <cfRule type="expression" dxfId="9" priority="6">
      <formula>$N$12&gt;0</formula>
    </cfRule>
  </conditionalFormatting>
  <conditionalFormatting sqref="L13">
    <cfRule type="expression" dxfId="8" priority="7">
      <formula>$N$13&gt;0</formula>
    </cfRule>
  </conditionalFormatting>
  <conditionalFormatting sqref="L14">
    <cfRule type="expression" dxfId="7" priority="8">
      <formula>$N$14&gt;0</formula>
    </cfRule>
  </conditionalFormatting>
  <conditionalFormatting sqref="L15">
    <cfRule type="expression" dxfId="6" priority="9">
      <formula>$N$15&gt;0</formula>
    </cfRule>
  </conditionalFormatting>
  <conditionalFormatting sqref="L16">
    <cfRule type="expression" dxfId="5" priority="10">
      <formula>$N$16&gt;0</formula>
    </cfRule>
  </conditionalFormatting>
  <conditionalFormatting sqref="L17">
    <cfRule type="expression" dxfId="4" priority="11">
      <formula>$N$17&gt;0</formula>
    </cfRule>
  </conditionalFormatting>
  <conditionalFormatting sqref="L18">
    <cfRule type="expression" dxfId="3" priority="12">
      <formula>$N$18&gt;0</formula>
    </cfRule>
  </conditionalFormatting>
  <conditionalFormatting sqref="L19">
    <cfRule type="expression" dxfId="2" priority="13">
      <formula>$N$19&gt;0</formula>
    </cfRule>
  </conditionalFormatting>
  <conditionalFormatting sqref="L20">
    <cfRule type="expression" dxfId="1" priority="15">
      <formula>$N$20&gt;0</formula>
    </cfRule>
  </conditionalFormatting>
  <conditionalFormatting sqref="L119">
    <cfRule type="expression" dxfId="0" priority="14">
      <formula>$N$10&gt;0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4A0CA-D671-4995-BFDC-083695B642D9}">
  <dimension ref="A1:E22"/>
  <sheetViews>
    <sheetView workbookViewId="0">
      <selection activeCell="B21" sqref="B21"/>
    </sheetView>
  </sheetViews>
  <sheetFormatPr defaultRowHeight="14.5" x14ac:dyDescent="0.35"/>
  <cols>
    <col min="1" max="1" width="9.453125" bestFit="1" customWidth="1"/>
    <col min="2" max="2" width="12.81640625" bestFit="1" customWidth="1"/>
    <col min="3" max="3" width="12.54296875" customWidth="1"/>
    <col min="4" max="4" width="13.54296875" bestFit="1" customWidth="1"/>
    <col min="5" max="5" width="10.08984375" style="2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3">
        <v>46221</v>
      </c>
      <c r="B2" t="s">
        <v>5</v>
      </c>
      <c r="C2" t="s">
        <v>7</v>
      </c>
      <c r="D2" t="s">
        <v>24</v>
      </c>
      <c r="E2" s="32">
        <v>10</v>
      </c>
    </row>
    <row r="3" spans="1:5" x14ac:dyDescent="0.35">
      <c r="A3" s="3">
        <v>46221</v>
      </c>
      <c r="B3" t="s">
        <v>5</v>
      </c>
      <c r="C3" t="s">
        <v>14</v>
      </c>
      <c r="D3" t="s">
        <v>6</v>
      </c>
      <c r="E3" s="32">
        <v>5</v>
      </c>
    </row>
    <row r="4" spans="1:5" x14ac:dyDescent="0.35">
      <c r="A4" s="3">
        <v>46222</v>
      </c>
      <c r="B4" t="s">
        <v>16</v>
      </c>
      <c r="C4" t="s">
        <v>15</v>
      </c>
      <c r="E4" s="32">
        <v>60</v>
      </c>
    </row>
    <row r="5" spans="1:5" x14ac:dyDescent="0.35">
      <c r="A5" s="3">
        <v>46222</v>
      </c>
      <c r="B5" t="s">
        <v>12</v>
      </c>
      <c r="C5" t="s">
        <v>26</v>
      </c>
      <c r="E5" s="32">
        <v>7.05</v>
      </c>
    </row>
    <row r="6" spans="1:5" x14ac:dyDescent="0.35">
      <c r="A6" s="3">
        <v>46222</v>
      </c>
      <c r="B6" t="s">
        <v>5</v>
      </c>
      <c r="C6" t="s">
        <v>27</v>
      </c>
      <c r="D6" t="s">
        <v>71</v>
      </c>
      <c r="E6" s="32">
        <v>36</v>
      </c>
    </row>
    <row r="7" spans="1:5" x14ac:dyDescent="0.35">
      <c r="A7" s="3">
        <v>46223</v>
      </c>
      <c r="B7" t="s">
        <v>16</v>
      </c>
      <c r="C7" t="s">
        <v>13</v>
      </c>
      <c r="E7" s="32">
        <v>1400</v>
      </c>
    </row>
    <row r="8" spans="1:5" x14ac:dyDescent="0.35">
      <c r="A8" s="3">
        <v>46223</v>
      </c>
      <c r="B8" t="s">
        <v>5</v>
      </c>
      <c r="C8" t="s">
        <v>7</v>
      </c>
      <c r="D8" t="s">
        <v>6</v>
      </c>
      <c r="E8" s="32">
        <v>13</v>
      </c>
    </row>
    <row r="9" spans="1:5" x14ac:dyDescent="0.35">
      <c r="A9" s="3">
        <v>46223</v>
      </c>
      <c r="B9" t="s">
        <v>5</v>
      </c>
      <c r="C9" t="s">
        <v>43</v>
      </c>
      <c r="D9" t="s">
        <v>24</v>
      </c>
      <c r="E9" s="32">
        <v>20</v>
      </c>
    </row>
    <row r="10" spans="1:5" x14ac:dyDescent="0.35">
      <c r="A10" s="3">
        <v>46224</v>
      </c>
      <c r="B10" t="s">
        <v>5</v>
      </c>
      <c r="C10" t="s">
        <v>59</v>
      </c>
      <c r="D10" t="s">
        <v>31</v>
      </c>
      <c r="E10" s="32">
        <v>6.99</v>
      </c>
    </row>
    <row r="11" spans="1:5" x14ac:dyDescent="0.35">
      <c r="A11" s="3">
        <v>46224</v>
      </c>
      <c r="B11" t="s">
        <v>5</v>
      </c>
      <c r="C11" t="s">
        <v>60</v>
      </c>
      <c r="D11" t="s">
        <v>24</v>
      </c>
      <c r="E11" s="32">
        <v>4.5599999999999996</v>
      </c>
    </row>
    <row r="12" spans="1:5" x14ac:dyDescent="0.35">
      <c r="A12" s="3">
        <v>46224</v>
      </c>
      <c r="B12" t="s">
        <v>5</v>
      </c>
      <c r="C12" t="s">
        <v>61</v>
      </c>
      <c r="D12" t="s">
        <v>6</v>
      </c>
      <c r="E12" s="32">
        <v>8.5399999999999991</v>
      </c>
    </row>
    <row r="13" spans="1:5" x14ac:dyDescent="0.35">
      <c r="A13" s="3">
        <v>46225</v>
      </c>
      <c r="B13" t="s">
        <v>16</v>
      </c>
      <c r="C13" t="s">
        <v>65</v>
      </c>
      <c r="E13" s="32">
        <v>887.51</v>
      </c>
    </row>
    <row r="14" spans="1:5" x14ac:dyDescent="0.35">
      <c r="A14" s="3">
        <v>46227</v>
      </c>
      <c r="B14" t="s">
        <v>5</v>
      </c>
      <c r="C14" t="s">
        <v>67</v>
      </c>
      <c r="D14" t="s">
        <v>71</v>
      </c>
      <c r="E14" s="32">
        <v>90</v>
      </c>
    </row>
    <row r="15" spans="1:5" x14ac:dyDescent="0.35">
      <c r="A15" s="3">
        <v>46227</v>
      </c>
      <c r="B15" t="s">
        <v>5</v>
      </c>
      <c r="C15" t="s">
        <v>68</v>
      </c>
      <c r="D15" t="s">
        <v>33</v>
      </c>
      <c r="E15" s="32">
        <v>5</v>
      </c>
    </row>
    <row r="16" spans="1:5" x14ac:dyDescent="0.35">
      <c r="A16" s="3">
        <v>46227</v>
      </c>
      <c r="B16" t="s">
        <v>5</v>
      </c>
      <c r="C16" t="s">
        <v>30</v>
      </c>
      <c r="D16" t="s">
        <v>30</v>
      </c>
      <c r="E16" s="32">
        <v>120</v>
      </c>
    </row>
    <row r="17" spans="1:5" x14ac:dyDescent="0.35">
      <c r="A17" s="3">
        <v>46227</v>
      </c>
      <c r="B17" t="s">
        <v>5</v>
      </c>
      <c r="C17" t="s">
        <v>69</v>
      </c>
      <c r="D17" t="s">
        <v>34</v>
      </c>
      <c r="E17" s="32">
        <v>130</v>
      </c>
    </row>
    <row r="18" spans="1:5" x14ac:dyDescent="0.35">
      <c r="A18" s="3">
        <v>46227</v>
      </c>
      <c r="B18" t="s">
        <v>5</v>
      </c>
      <c r="C18" t="s">
        <v>70</v>
      </c>
      <c r="D18" t="s">
        <v>71</v>
      </c>
      <c r="E18" s="32">
        <v>5</v>
      </c>
    </row>
    <row r="19" spans="1:5" x14ac:dyDescent="0.35">
      <c r="A19" s="3">
        <v>46227</v>
      </c>
      <c r="B19" t="s">
        <v>5</v>
      </c>
      <c r="C19" t="s">
        <v>72</v>
      </c>
      <c r="D19" t="s">
        <v>48</v>
      </c>
      <c r="E19" s="32">
        <v>5</v>
      </c>
    </row>
    <row r="20" spans="1:5" x14ac:dyDescent="0.35">
      <c r="A20" s="3">
        <v>46227</v>
      </c>
      <c r="B20" t="s">
        <v>5</v>
      </c>
      <c r="C20" t="s">
        <v>73</v>
      </c>
      <c r="D20" t="s">
        <v>25</v>
      </c>
      <c r="E20" s="32">
        <v>100</v>
      </c>
    </row>
    <row r="21" spans="1:5" x14ac:dyDescent="0.35">
      <c r="A21" s="3">
        <v>46227</v>
      </c>
      <c r="B21" t="s">
        <v>5</v>
      </c>
      <c r="C21" t="s">
        <v>74</v>
      </c>
      <c r="D21" t="s">
        <v>29</v>
      </c>
      <c r="E21" s="32">
        <v>200</v>
      </c>
    </row>
    <row r="22" spans="1:5" x14ac:dyDescent="0.35">
      <c r="A22" s="3"/>
      <c r="E22" s="32"/>
    </row>
  </sheetData>
  <dataValidations count="2">
    <dataValidation type="list" allowBlank="1" showInputMessage="1" showErrorMessage="1" sqref="D1:D1048576" xr:uid="{5A902824-C1F9-42D7-9EC0-587672531F48}">
      <formula1>"Housing, Utilities, Transportation, Insurance, Groceries, Leisure, Healthcare, Debt, Education, Miscellaneous  "</formula1>
    </dataValidation>
    <dataValidation type="list" allowBlank="1" showInputMessage="1" showErrorMessage="1" sqref="B1:B1048576" xr:uid="{D4A6922B-8244-4E42-9D0C-F1E76ADC0FB0}">
      <formula1>"Salary Income, Other Income, Expense"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B0B87-E02C-4733-8C0A-D3D3457A26BD}">
  <dimension ref="A1:F29"/>
  <sheetViews>
    <sheetView workbookViewId="0">
      <selection activeCell="C16" sqref="C16"/>
    </sheetView>
  </sheetViews>
  <sheetFormatPr defaultRowHeight="14.5" x14ac:dyDescent="0.35"/>
  <cols>
    <col min="1" max="1" width="8.7265625" style="3"/>
    <col min="2" max="2" width="13.90625" bestFit="1" customWidth="1"/>
    <col min="3" max="3" width="8.90625" customWidth="1"/>
    <col min="5" max="5" width="22.1796875" bestFit="1" customWidth="1"/>
  </cols>
  <sheetData>
    <row r="1" spans="1:6" x14ac:dyDescent="0.35">
      <c r="A1" s="3" t="s">
        <v>0</v>
      </c>
      <c r="B1" t="s">
        <v>3</v>
      </c>
      <c r="C1" t="s">
        <v>11</v>
      </c>
      <c r="E1" t="s">
        <v>40</v>
      </c>
      <c r="F1" t="s">
        <v>41</v>
      </c>
    </row>
    <row r="2" spans="1:6" x14ac:dyDescent="0.35">
      <c r="A2" s="3">
        <v>46204</v>
      </c>
      <c r="B2" t="s">
        <v>16</v>
      </c>
      <c r="C2">
        <v>3000</v>
      </c>
      <c r="E2" t="str">
        <f>DashBoard!A30</f>
        <v>Debt Paydown</v>
      </c>
      <c r="F2">
        <v>0.6</v>
      </c>
    </row>
    <row r="3" spans="1:6" x14ac:dyDescent="0.35">
      <c r="A3" s="3">
        <v>46204</v>
      </c>
      <c r="B3" t="s">
        <v>12</v>
      </c>
      <c r="C3">
        <v>20</v>
      </c>
      <c r="E3" t="str">
        <f>DashBoard!A31</f>
        <v>Emeregency Fund</v>
      </c>
      <c r="F3">
        <v>0.2</v>
      </c>
    </row>
    <row r="4" spans="1:6" x14ac:dyDescent="0.35">
      <c r="A4" s="3">
        <v>46204</v>
      </c>
      <c r="B4" t="s">
        <v>25</v>
      </c>
      <c r="C4">
        <v>0</v>
      </c>
      <c r="E4" t="str">
        <f>DashBoard!A32</f>
        <v>Investments</v>
      </c>
      <c r="F4">
        <v>0.2</v>
      </c>
    </row>
    <row r="5" spans="1:6" x14ac:dyDescent="0.35">
      <c r="A5" s="3">
        <v>46204</v>
      </c>
      <c r="B5" t="s">
        <v>29</v>
      </c>
      <c r="C5">
        <v>0</v>
      </c>
    </row>
    <row r="6" spans="1:6" x14ac:dyDescent="0.35">
      <c r="A6" s="3">
        <v>46204</v>
      </c>
      <c r="B6" t="s">
        <v>6</v>
      </c>
      <c r="C6">
        <v>500</v>
      </c>
    </row>
    <row r="7" spans="1:6" x14ac:dyDescent="0.35">
      <c r="A7" s="3">
        <v>46204</v>
      </c>
      <c r="B7" t="s">
        <v>30</v>
      </c>
      <c r="C7">
        <v>120</v>
      </c>
    </row>
    <row r="8" spans="1:6" x14ac:dyDescent="0.35">
      <c r="A8" s="3">
        <v>46204</v>
      </c>
      <c r="B8" t="s">
        <v>31</v>
      </c>
      <c r="C8">
        <v>100</v>
      </c>
    </row>
    <row r="9" spans="1:6" x14ac:dyDescent="0.35">
      <c r="A9" s="3">
        <v>46204</v>
      </c>
      <c r="B9" t="s">
        <v>71</v>
      </c>
      <c r="C9">
        <v>200</v>
      </c>
    </row>
    <row r="10" spans="1:6" x14ac:dyDescent="0.35">
      <c r="A10" s="3">
        <v>46204</v>
      </c>
      <c r="B10" t="s">
        <v>33</v>
      </c>
      <c r="C10">
        <v>50</v>
      </c>
    </row>
    <row r="11" spans="1:6" x14ac:dyDescent="0.35">
      <c r="A11" s="3">
        <v>46204</v>
      </c>
      <c r="B11" t="s">
        <v>34</v>
      </c>
      <c r="C11">
        <v>800</v>
      </c>
    </row>
    <row r="12" spans="1:6" x14ac:dyDescent="0.35">
      <c r="A12" s="3">
        <v>46204</v>
      </c>
      <c r="B12" t="s">
        <v>48</v>
      </c>
      <c r="C12">
        <v>20</v>
      </c>
    </row>
    <row r="13" spans="1:6" x14ac:dyDescent="0.35">
      <c r="A13" s="3">
        <v>46204</v>
      </c>
      <c r="B13" t="s">
        <v>17</v>
      </c>
      <c r="C13">
        <v>40</v>
      </c>
    </row>
    <row r="14" spans="1:6" x14ac:dyDescent="0.35">
      <c r="A14" s="3">
        <v>46204</v>
      </c>
      <c r="B14" t="s">
        <v>24</v>
      </c>
      <c r="C14">
        <v>50</v>
      </c>
    </row>
    <row r="15" spans="1:6" x14ac:dyDescent="0.35">
      <c r="A15" s="21">
        <v>46204</v>
      </c>
      <c r="B15" s="4" t="s">
        <v>36</v>
      </c>
      <c r="C15" s="4">
        <v>500</v>
      </c>
    </row>
    <row r="16" spans="1:6" x14ac:dyDescent="0.35">
      <c r="A16" s="3">
        <v>46235</v>
      </c>
      <c r="B16" t="s">
        <v>16</v>
      </c>
    </row>
    <row r="17" spans="1:2" x14ac:dyDescent="0.35">
      <c r="A17" s="3">
        <v>46235</v>
      </c>
      <c r="B17" t="s">
        <v>12</v>
      </c>
    </row>
    <row r="18" spans="1:2" x14ac:dyDescent="0.35">
      <c r="A18" s="3">
        <v>46235</v>
      </c>
      <c r="B18" t="s">
        <v>25</v>
      </c>
    </row>
    <row r="19" spans="1:2" x14ac:dyDescent="0.35">
      <c r="A19" s="3">
        <v>46235</v>
      </c>
      <c r="B19" t="s">
        <v>29</v>
      </c>
    </row>
    <row r="20" spans="1:2" x14ac:dyDescent="0.35">
      <c r="A20" s="3">
        <v>46235</v>
      </c>
      <c r="B20" t="s">
        <v>6</v>
      </c>
    </row>
    <row r="21" spans="1:2" x14ac:dyDescent="0.35">
      <c r="A21" s="3">
        <v>46235</v>
      </c>
      <c r="B21" t="s">
        <v>30</v>
      </c>
    </row>
    <row r="22" spans="1:2" x14ac:dyDescent="0.35">
      <c r="A22" s="3">
        <v>46235</v>
      </c>
      <c r="B22" t="s">
        <v>31</v>
      </c>
    </row>
    <row r="23" spans="1:2" x14ac:dyDescent="0.35">
      <c r="A23" s="3">
        <v>46235</v>
      </c>
      <c r="B23" t="s">
        <v>71</v>
      </c>
    </row>
    <row r="24" spans="1:2" x14ac:dyDescent="0.35">
      <c r="A24" s="3">
        <v>46235</v>
      </c>
      <c r="B24" t="s">
        <v>33</v>
      </c>
    </row>
    <row r="25" spans="1:2" x14ac:dyDescent="0.35">
      <c r="A25" s="3">
        <v>46235</v>
      </c>
      <c r="B25" t="s">
        <v>34</v>
      </c>
    </row>
    <row r="26" spans="1:2" x14ac:dyDescent="0.35">
      <c r="A26" s="3">
        <v>46235</v>
      </c>
      <c r="B26" t="s">
        <v>48</v>
      </c>
    </row>
    <row r="27" spans="1:2" x14ac:dyDescent="0.35">
      <c r="A27" s="3">
        <v>46235</v>
      </c>
      <c r="B27" t="s">
        <v>17</v>
      </c>
    </row>
    <row r="28" spans="1:2" x14ac:dyDescent="0.35">
      <c r="A28" s="3">
        <v>46235</v>
      </c>
      <c r="B28" t="s">
        <v>24</v>
      </c>
    </row>
    <row r="29" spans="1:2" x14ac:dyDescent="0.35">
      <c r="A29" s="3">
        <v>46235</v>
      </c>
      <c r="B29" s="4" t="s">
        <v>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6ACE2-DBB8-4ABD-BB5E-F5461CBDAAE9}">
  <dimension ref="A1:J8"/>
  <sheetViews>
    <sheetView workbookViewId="0">
      <selection activeCell="E8" sqref="E8"/>
    </sheetView>
  </sheetViews>
  <sheetFormatPr defaultRowHeight="14.5" x14ac:dyDescent="0.35"/>
  <cols>
    <col min="1" max="2" width="13.36328125" bestFit="1" customWidth="1"/>
    <col min="3" max="3" width="14.1796875" customWidth="1"/>
    <col min="4" max="4" width="20.1796875" bestFit="1" customWidth="1"/>
    <col min="5" max="5" width="15.08984375" bestFit="1" customWidth="1"/>
    <col min="6" max="6" width="19.90625" bestFit="1" customWidth="1"/>
    <col min="7" max="7" width="19.90625" customWidth="1"/>
    <col min="8" max="8" width="25.453125" bestFit="1" customWidth="1"/>
    <col min="10" max="10" width="9.453125" bestFit="1" customWidth="1"/>
  </cols>
  <sheetData>
    <row r="1" spans="1:10" x14ac:dyDescent="0.35">
      <c r="A1" t="s">
        <v>46</v>
      </c>
      <c r="B1" t="s">
        <v>3</v>
      </c>
      <c r="C1" t="s">
        <v>44</v>
      </c>
      <c r="D1" t="s">
        <v>49</v>
      </c>
      <c r="E1" t="s">
        <v>45</v>
      </c>
      <c r="F1" t="s">
        <v>62</v>
      </c>
      <c r="G1" t="s">
        <v>63</v>
      </c>
      <c r="H1" t="s">
        <v>52</v>
      </c>
    </row>
    <row r="2" spans="1:10" x14ac:dyDescent="0.35">
      <c r="A2" t="s">
        <v>47</v>
      </c>
      <c r="B2" t="s">
        <v>48</v>
      </c>
      <c r="C2">
        <v>21.15</v>
      </c>
      <c r="D2" t="s">
        <v>64</v>
      </c>
      <c r="E2">
        <v>10</v>
      </c>
      <c r="F2" s="3">
        <f ca="1">IF( DATE(YEAR(TODAY()),MONTH(TODAY()),E2)&gt;=TODAY(), DATE(YEAR(TODAY()),MONTH(TODAY()),E2), EDATE(DATE(YEAR(TODAY()),MONTH(TODAY()),E2),1) )</f>
        <v>46244</v>
      </c>
      <c r="G2" s="3">
        <f>IF(Subscriptions[[#This Row],[Renewal Frequency]]="Monthly",
    DATE(
        YEAR(DashBoard!$B$4),
        MONTH(DashBoard!$B$4),
        MIN(VALUE(Subscriptions[[#This Row],[Renewal Date]]),DAY(EOMONTH(DashBoard!$B$4,0)))
    ),
    DATE(
        YEAR(DashBoard!$B$4),
        MONTH(Subscriptions[[#This Row],[Renewal Date]]),
        DAY(Subscriptions[[#This Row],[Renewal Date]])
    )
)</f>
        <v>46213</v>
      </c>
    </row>
    <row r="3" spans="1:10" x14ac:dyDescent="0.35">
      <c r="A3" t="s">
        <v>58</v>
      </c>
      <c r="B3" t="s">
        <v>32</v>
      </c>
      <c r="C3">
        <v>2.99</v>
      </c>
      <c r="D3" t="s">
        <v>64</v>
      </c>
      <c r="E3">
        <v>21</v>
      </c>
      <c r="F3" s="3">
        <f ca="1">IF( DATE(YEAR(TODAY()),MONTH(TODAY()),E3)&gt;=TODAY(), DATE(YEAR(TODAY()),MONTH(TODAY()),E3), EDATE(DATE(YEAR(TODAY()),MONTH(TODAY()),E3),1) )</f>
        <v>46255</v>
      </c>
      <c r="G3" s="3">
        <f>IF(Subscriptions[[#This Row],[Renewal Frequency]]="Monthly",
    DATE(
        YEAR(DashBoard!$B$4),
        MONTH(DashBoard!$B$4),
        MIN(Subscriptions[[#This Row],[Renewal Date]],DAY(EOMONTH(DashBoard!$B$4,0)))
    ),
    DATE(
        YEAR(DashBoard!$B$4),
        MONTH(Subscriptions[[#This Row],[Renewal Date]]),
        DAY(Subscriptions[[#This Row],[Renewal Date]])
    )
)</f>
        <v>46224</v>
      </c>
    </row>
    <row r="4" spans="1:10" x14ac:dyDescent="0.35">
      <c r="A4" t="s">
        <v>50</v>
      </c>
      <c r="B4" t="s">
        <v>48</v>
      </c>
      <c r="C4">
        <v>15.85</v>
      </c>
      <c r="D4" t="s">
        <v>64</v>
      </c>
      <c r="E4">
        <v>29</v>
      </c>
      <c r="F4" s="3">
        <f ca="1">IF( DATE(YEAR(TODAY()),MONTH(TODAY()),E4)&gt;=TODAY(), DATE(YEAR(TODAY()),MONTH(TODAY()),E4), EDATE(DATE(YEAR(TODAY()),MONTH(TODAY()),E4),1) )</f>
        <v>46232</v>
      </c>
      <c r="G4" s="3">
        <f>IF(Subscriptions[[#This Row],[Renewal Frequency]]="Monthly",
    DATE(
        YEAR(DashBoard!$B$4),
        MONTH(DashBoard!$B$4),
        MIN(Subscriptions[[#This Row],[Renewal Date]],DAY(EOMONTH(DashBoard!$B$4,0)))
    ),
    DATE(
        YEAR(DashBoard!$B$4),
        MONTH(Subscriptions[[#This Row],[Renewal Date]]),
        DAY(Subscriptions[[#This Row],[Renewal Date]])
    )
)</f>
        <v>46232</v>
      </c>
    </row>
    <row r="5" spans="1:10" x14ac:dyDescent="0.35">
      <c r="A5" t="s">
        <v>51</v>
      </c>
      <c r="B5" t="s">
        <v>48</v>
      </c>
      <c r="C5">
        <v>3.99</v>
      </c>
      <c r="D5" t="s">
        <v>64</v>
      </c>
      <c r="E5">
        <v>1</v>
      </c>
      <c r="F5" s="3">
        <f ca="1">IF( DATE(YEAR(TODAY()),MONTH(TODAY()),E5)&gt;=TODAY(), DATE(YEAR(TODAY()),MONTH(TODAY()),E5), EDATE(DATE(YEAR(TODAY()),MONTH(TODAY()),E5),1) )</f>
        <v>46235</v>
      </c>
      <c r="G5" s="3">
        <f>IF(Subscriptions[[#This Row],[Renewal Frequency]]="Monthly",
    DATE(
        YEAR(DashBoard!$B$4),
        MONTH(DashBoard!$B$4),
        MIN(Subscriptions[[#This Row],[Renewal Date]],DAY(EOMONTH(DashBoard!$B$4,0)))
    ),
    DATE(
        YEAR(DashBoard!$B$4),
        MONTH(Subscriptions[[#This Row],[Renewal Date]]),
        DAY(Subscriptions[[#This Row],[Renewal Date]])
    )
)</f>
        <v>46204</v>
      </c>
      <c r="H5" t="s">
        <v>53</v>
      </c>
      <c r="J5">
        <f>MONTH(DashBoard!$B$4)</f>
        <v>7</v>
      </c>
    </row>
    <row r="6" spans="1:10" x14ac:dyDescent="0.35">
      <c r="A6" t="s">
        <v>54</v>
      </c>
      <c r="B6" t="s">
        <v>24</v>
      </c>
      <c r="C6">
        <v>147.34</v>
      </c>
      <c r="D6" t="s">
        <v>55</v>
      </c>
      <c r="E6" s="34">
        <v>46107</v>
      </c>
      <c r="F6" s="3">
        <f ca="1">IF(
    DATE(YEAR(TODAY()),MONTH(E6),DAY(E6))&gt;=TODAY(),
    DATE(YEAR(TODAY()),MONTH(E6),DAY(E6)),
    DATE(YEAR(TODAY())+1,MONTH(E6),DAY(E6))
)</f>
        <v>46472</v>
      </c>
      <c r="G6" s="3">
        <f>IF(Subscriptions[[#This Row],[Renewal Frequency]]="Monthly",
    DATE(
        YEAR(DashBoard!$B$4),
        MONTH(DashBoard!$B$4),
        MIN(Subscriptions[[#This Row],[Renewal Date]],DAY(EOMONTH(DashBoard!$B$4,0)))
    ),
    DATE(
        YEAR(DashBoard!$B$4),
        MONTH(Subscriptions[[#This Row],[Renewal Date]]),
        DAY(Subscriptions[[#This Row],[Renewal Date]])
    )
)</f>
        <v>46107</v>
      </c>
      <c r="J6">
        <f>YEAR(DashBoard!$B$4)</f>
        <v>2026</v>
      </c>
    </row>
    <row r="7" spans="1:10" x14ac:dyDescent="0.35">
      <c r="A7" t="s">
        <v>56</v>
      </c>
      <c r="B7" t="s">
        <v>33</v>
      </c>
      <c r="C7">
        <v>84.79</v>
      </c>
      <c r="D7" t="s">
        <v>55</v>
      </c>
      <c r="E7" s="34">
        <v>46386</v>
      </c>
      <c r="F7" s="3">
        <f ca="1">IF(
    DATE(YEAR(TODAY()),MONTH(E7),DAY(E7))&gt;=TODAY(),
    DATE(YEAR(TODAY()),MONTH(E7),DAY(E7)),
    DATE(YEAR(TODAY())+1,MONTH(E7),DAY(E7))
)</f>
        <v>46386</v>
      </c>
      <c r="G7" s="3">
        <f>IF(Subscriptions[[#This Row],[Renewal Frequency]]="Monthly",
    DATE(
        YEAR(DashBoard!$B$4),
        MONTH(DashBoard!$B$4),
        MIN(Subscriptions[[#This Row],[Renewal Date]],DAY(EOMONTH(DashBoard!$B$4,0)))
    ),
    DATE(
        YEAR(DashBoard!$B$4),
        MONTH(Subscriptions[[#This Row],[Renewal Date]]),
        DAY(Subscriptions[[#This Row],[Renewal Date]])
    )
)</f>
        <v>46386</v>
      </c>
      <c r="J7" s="3">
        <f>DATE(YEAR(DashBoard!$B$4),MONTH(DashBoard!$B$4),10)</f>
        <v>46213</v>
      </c>
    </row>
    <row r="8" spans="1:10" x14ac:dyDescent="0.35">
      <c r="A8" t="s">
        <v>57</v>
      </c>
      <c r="B8" t="s">
        <v>48</v>
      </c>
      <c r="C8">
        <v>316.94</v>
      </c>
      <c r="D8" t="s">
        <v>55</v>
      </c>
      <c r="E8" s="34">
        <v>46246</v>
      </c>
      <c r="F8" s="3">
        <f ca="1">IF(
    DATE(YEAR(TODAY()),MONTH(E8),DAY(E8))&gt;=TODAY(),
    DATE(YEAR(TODAY()),MONTH(E8),DAY(E8)),
    DATE(YEAR(TODAY())+1,MONTH(E8),DAY(E8))
)</f>
        <v>46246</v>
      </c>
      <c r="G8" s="3">
        <f>IF(Subscriptions[[#This Row],[Renewal Frequency]]="Monthly",
    DATE(
        YEAR(DashBoard!$B$4),
        MONTH(DashBoard!$B$4),
        MIN(Subscriptions[[#This Row],[Renewal Date]],DAY(EOMONTH(DashBoard!$B$4,0)))
    ),
    DATE(
        YEAR(DashBoard!$B$4),
        MONTH(Subscriptions[[#This Row],[Renewal Date]]),
        DAY(Subscriptions[[#This Row],[Renewal Date]])
    )
)</f>
        <v>46246</v>
      </c>
    </row>
  </sheetData>
  <phoneticPr fontId="10" type="noConversion"/>
  <dataValidations count="1">
    <dataValidation type="list" allowBlank="1" showInputMessage="1" showErrorMessage="1" sqref="B2:B1048576" xr:uid="{80A88552-F78D-49D1-AF85-74BD717F605E}">
      <formula1>"Housing, Utilities, Transportation, Insurance, Groceries, Dining, Going Out,  Entertainment, Healthcare, Debt, Education, Miscellaneous  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19F09-D6BC-436A-B517-CB0C9876EEA8}">
  <dimension ref="A1:I11"/>
  <sheetViews>
    <sheetView workbookViewId="0">
      <selection activeCell="D3" sqref="D3"/>
    </sheetView>
  </sheetViews>
  <sheetFormatPr defaultRowHeight="14.5" x14ac:dyDescent="0.35"/>
  <cols>
    <col min="2" max="2" width="14.6328125" customWidth="1"/>
    <col min="3" max="4" width="14.453125" customWidth="1"/>
    <col min="5" max="5" width="10.36328125" bestFit="1" customWidth="1"/>
    <col min="6" max="6" width="10.36328125" customWidth="1"/>
    <col min="7" max="7" width="15.90625" bestFit="1" customWidth="1"/>
    <col min="8" max="8" width="9.54296875" bestFit="1" customWidth="1"/>
    <col min="9" max="9" width="13.36328125" style="20" customWidth="1"/>
  </cols>
  <sheetData>
    <row r="1" spans="1:9" x14ac:dyDescent="0.35">
      <c r="A1" t="s">
        <v>77</v>
      </c>
      <c r="B1" t="s">
        <v>16</v>
      </c>
      <c r="C1" t="s">
        <v>12</v>
      </c>
      <c r="D1" t="s">
        <v>8</v>
      </c>
      <c r="E1" t="s">
        <v>5</v>
      </c>
      <c r="F1" t="s">
        <v>17</v>
      </c>
      <c r="G1" t="s">
        <v>9</v>
      </c>
      <c r="H1" t="s">
        <v>10</v>
      </c>
      <c r="I1" s="63" t="s">
        <v>78</v>
      </c>
    </row>
    <row r="2" spans="1:9" x14ac:dyDescent="0.35">
      <c r="A2" s="62">
        <v>46204</v>
      </c>
      <c r="B2" s="51">
        <f>SUMIFS(Tracker[[Amount ]],Tracker[Type],B$1,Tracker[Date],"&gt;="&amp;EOMONTH($A2,-1)+1,Tracker[Date],"&lt;="&amp;EOMONTH($A2,0))</f>
        <v>2347.5100000000002</v>
      </c>
      <c r="C2" s="51">
        <f>SUMIFS(Tracker[[Amount ]],Tracker[Type],C$1,Tracker[Date],"&gt;="&amp;EOMONTH($A2,-1)+1,Tracker[Date],"&lt;="&amp;EOMONTH($A2,0))</f>
        <v>7.05</v>
      </c>
      <c r="D2" s="51">
        <f>SUM(Table6[[#This Row],[Salary Income]:[Other Income]])</f>
        <v>2354.5600000000004</v>
      </c>
      <c r="E2" s="51">
        <f>SUMIFS(Tracker[[Amount ]],Tracker[Type],E$1,Tracker[Date],"&gt;="&amp;EOMONTH($A2,-1)+1,Tracker[Date],"&lt;="&amp;EOMONTH($A2,0))</f>
        <v>759.09</v>
      </c>
      <c r="F2" s="51">
        <f>SUMIFS(
    Subscriptions[Monthly Cost],
    Subscriptions[Period Renewal Date],"&gt;="&amp;EOMONTH(A2,-1)+1,
    Subscriptions[Period Renewal Date],"&lt;"&amp;EOMONTH(A2,0)+1
)</f>
        <v>43.980000000000004</v>
      </c>
      <c r="G2" s="51">
        <f>Table6[[#This Row],[Expense]]+Table6[[#This Row],[Subscriptions]]</f>
        <v>803.07</v>
      </c>
      <c r="H2" s="51">
        <f>MAX(Table6[[#This Row],[Income]]-Table6[[#This Row],[Expenses]],0)</f>
        <v>1551.4900000000002</v>
      </c>
      <c r="I2" s="20">
        <f>IFERROR(Table6[[#This Row],[Savings]]/Table6[[#This Row],[Income]],0)</f>
        <v>0.65892990622451753</v>
      </c>
    </row>
    <row r="3" spans="1:9" x14ac:dyDescent="0.35">
      <c r="A3" s="62">
        <v>46235</v>
      </c>
      <c r="B3" s="51">
        <f>SUMIFS(Tracker[[Amount ]],Tracker[Type],B$1,Tracker[Date],"&gt;="&amp;EOMONTH($A3,-1)+1,Tracker[Date],"&lt;="&amp;EOMONTH($A3,0))</f>
        <v>0</v>
      </c>
      <c r="C3" s="51">
        <f>SUMIFS(Tracker[[Amount ]],Tracker[Type],C$1,Tracker[Date],"&gt;="&amp;EOMONTH($A3,-1)+1,Tracker[Date],"&lt;="&amp;EOMONTH($A3,0))</f>
        <v>0</v>
      </c>
      <c r="D3" s="51">
        <f>SUM(Table6[[#This Row],[Salary Income]:[Other Income]])</f>
        <v>0</v>
      </c>
      <c r="E3" s="51">
        <f>SUMIFS(Tracker[[Amount ]],Tracker[Type],E$1,Tracker[Date],"&gt;="&amp;EOMONTH($A3,-1)+1,Tracker[Date],"&lt;="&amp;EOMONTH($A3,0))</f>
        <v>0</v>
      </c>
      <c r="F3" s="51">
        <f>SUMIFS(
    Subscriptions[Monthly Cost],
    Subscriptions[Period Renewal Date],"&gt;="&amp;EOMONTH(A3,-1)+1,
    Subscriptions[Period Renewal Date],"&lt;"&amp;EOMONTH(A3,0)+1
)</f>
        <v>316.94</v>
      </c>
      <c r="G3" s="51">
        <f>Table6[[#This Row],[Expense]]+Table6[[#This Row],[Subscriptions]]</f>
        <v>316.94</v>
      </c>
      <c r="H3" s="51">
        <f>MAX(Table6[[#This Row],[Income]]-Table6[[#This Row],[Expenses]],0)</f>
        <v>0</v>
      </c>
      <c r="I3" s="20">
        <f>IFERROR(Table6[[#This Row],[Savings]]/Table6[[#This Row],[Income]],0)</f>
        <v>0</v>
      </c>
    </row>
    <row r="4" spans="1:9" x14ac:dyDescent="0.35">
      <c r="A4" s="3"/>
    </row>
    <row r="5" spans="1:9" x14ac:dyDescent="0.35">
      <c r="A5" s="3"/>
    </row>
    <row r="6" spans="1:9" x14ac:dyDescent="0.35">
      <c r="A6" s="3"/>
    </row>
    <row r="7" spans="1:9" x14ac:dyDescent="0.35">
      <c r="A7" s="3"/>
    </row>
    <row r="8" spans="1:9" x14ac:dyDescent="0.35">
      <c r="A8" s="3"/>
    </row>
    <row r="9" spans="1:9" x14ac:dyDescent="0.35">
      <c r="A9" s="3"/>
    </row>
    <row r="10" spans="1:9" x14ac:dyDescent="0.35">
      <c r="A10" s="3"/>
    </row>
    <row r="11" spans="1:9" x14ac:dyDescent="0.35">
      <c r="A11" s="3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44E1-FFD8-40A1-805C-4B262DA2C5BC}">
  <dimension ref="A1:L38"/>
  <sheetViews>
    <sheetView workbookViewId="0">
      <selection activeCell="K4" sqref="K4"/>
    </sheetView>
  </sheetViews>
  <sheetFormatPr defaultRowHeight="14.5" x14ac:dyDescent="0.35"/>
  <cols>
    <col min="1" max="1" width="16.08984375" bestFit="1" customWidth="1"/>
    <col min="4" max="4" width="16.1796875" bestFit="1" customWidth="1"/>
    <col min="11" max="11" width="16.08984375" bestFit="1" customWidth="1"/>
  </cols>
  <sheetData>
    <row r="1" spans="1:12" x14ac:dyDescent="0.35">
      <c r="A1" t="s">
        <v>66</v>
      </c>
    </row>
    <row r="3" spans="1:12" x14ac:dyDescent="0.35">
      <c r="A3" s="1" t="s">
        <v>76</v>
      </c>
      <c r="D3" s="1" t="s">
        <v>79</v>
      </c>
      <c r="K3" s="1" t="s">
        <v>76</v>
      </c>
    </row>
    <row r="4" spans="1:12" x14ac:dyDescent="0.35">
      <c r="A4" t="str" cm="1">
        <f t="array" ref="A4:B14">_xlfn._xlws.SORT(_xlfn._xlws.FILTER(_xlfn.CHOOSECOLS(DashBoard!A15:C25, 1, 3), DashBoard!C15:C25), 2, -1)</f>
        <v>Utilities</v>
      </c>
      <c r="B4">
        <v>200</v>
      </c>
      <c r="D4" t="str" cm="1">
        <f t="array" ref="D4:H14">_xlfn._xlws.FILTER(DashBoard!A15:E25,(DashBoard!C15:C25&gt;0)+(DashBoard!D15:D25&gt;0))</f>
        <v>Housing</v>
      </c>
      <c r="E4">
        <v>0</v>
      </c>
      <c r="F4">
        <v>100</v>
      </c>
      <c r="G4">
        <v>0</v>
      </c>
      <c r="H4">
        <v>-100</v>
      </c>
      <c r="I4">
        <f>ABS(H4)</f>
        <v>100</v>
      </c>
      <c r="K4" t="str" cm="1">
        <f t="array" ref="K4:L6">_xlfn._xlws.SORT(_xlfn.CHOOSECOLS(DashBoard!A30:C32,1,3),2,-1)</f>
        <v>Debt Paydown</v>
      </c>
      <c r="L4">
        <v>930.89400000000023</v>
      </c>
    </row>
    <row r="5" spans="1:12" x14ac:dyDescent="0.35">
      <c r="A5" t="str">
        <v>Leisure</v>
      </c>
      <c r="B5">
        <v>131</v>
      </c>
      <c r="D5" t="str">
        <v>Utilities</v>
      </c>
      <c r="E5">
        <v>0</v>
      </c>
      <c r="F5">
        <v>200</v>
      </c>
      <c r="G5">
        <v>0</v>
      </c>
      <c r="H5">
        <v>-200</v>
      </c>
      <c r="I5">
        <f t="shared" ref="I5:I14" si="0">ABS(H5)</f>
        <v>200</v>
      </c>
      <c r="K5" t="str">
        <v>Emeregency Fund</v>
      </c>
      <c r="L5">
        <v>310.29800000000012</v>
      </c>
    </row>
    <row r="6" spans="1:12" x14ac:dyDescent="0.35">
      <c r="A6" t="str">
        <v>Debt</v>
      </c>
      <c r="B6">
        <v>130</v>
      </c>
      <c r="D6" t="str">
        <v>Transportation</v>
      </c>
      <c r="E6">
        <v>0</v>
      </c>
      <c r="F6">
        <v>26.54</v>
      </c>
      <c r="G6">
        <v>500</v>
      </c>
      <c r="H6">
        <v>473.46</v>
      </c>
      <c r="I6">
        <f t="shared" si="0"/>
        <v>473.46</v>
      </c>
      <c r="K6" t="str">
        <v>Investments</v>
      </c>
      <c r="L6">
        <v>310.29800000000012</v>
      </c>
    </row>
    <row r="7" spans="1:12" x14ac:dyDescent="0.35">
      <c r="A7" t="str">
        <v>Insurance</v>
      </c>
      <c r="B7">
        <v>120</v>
      </c>
      <c r="D7" t="str">
        <v>Insurance</v>
      </c>
      <c r="E7">
        <v>0</v>
      </c>
      <c r="F7">
        <v>120</v>
      </c>
      <c r="G7">
        <v>120</v>
      </c>
      <c r="H7">
        <v>0</v>
      </c>
      <c r="I7">
        <f t="shared" si="0"/>
        <v>0</v>
      </c>
    </row>
    <row r="8" spans="1:12" x14ac:dyDescent="0.35">
      <c r="A8" t="str">
        <v>Housing</v>
      </c>
      <c r="B8">
        <v>100</v>
      </c>
      <c r="D8" t="str">
        <v>Groceries</v>
      </c>
      <c r="E8">
        <v>0</v>
      </c>
      <c r="F8">
        <v>6.99</v>
      </c>
      <c r="G8">
        <v>100</v>
      </c>
      <c r="H8">
        <v>93.01</v>
      </c>
      <c r="I8">
        <f t="shared" si="0"/>
        <v>93.01</v>
      </c>
    </row>
    <row r="9" spans="1:12" x14ac:dyDescent="0.35">
      <c r="A9" t="str">
        <v>Subscriptions</v>
      </c>
      <c r="B9">
        <v>43.980000000000004</v>
      </c>
      <c r="D9" t="str">
        <v>Leisure</v>
      </c>
      <c r="E9">
        <v>0</v>
      </c>
      <c r="F9">
        <v>131</v>
      </c>
      <c r="G9">
        <v>200</v>
      </c>
      <c r="H9">
        <v>69</v>
      </c>
      <c r="I9">
        <f t="shared" si="0"/>
        <v>69</v>
      </c>
    </row>
    <row r="10" spans="1:12" x14ac:dyDescent="0.35">
      <c r="A10" t="str">
        <v xml:space="preserve">Miscellaneous  </v>
      </c>
      <c r="B10">
        <v>34.56</v>
      </c>
      <c r="D10" t="str">
        <v>Healthcare</v>
      </c>
      <c r="E10">
        <v>0</v>
      </c>
      <c r="F10">
        <v>5</v>
      </c>
      <c r="G10">
        <v>50</v>
      </c>
      <c r="H10">
        <v>45</v>
      </c>
      <c r="I10">
        <f t="shared" si="0"/>
        <v>45</v>
      </c>
    </row>
    <row r="11" spans="1:12" x14ac:dyDescent="0.35">
      <c r="A11" t="str">
        <v>Transportation</v>
      </c>
      <c r="B11">
        <v>26.54</v>
      </c>
      <c r="D11" t="str">
        <v>Debt</v>
      </c>
      <c r="E11">
        <v>0</v>
      </c>
      <c r="F11">
        <v>130</v>
      </c>
      <c r="G11">
        <v>800</v>
      </c>
      <c r="H11">
        <v>670</v>
      </c>
      <c r="I11">
        <f t="shared" si="0"/>
        <v>670</v>
      </c>
    </row>
    <row r="12" spans="1:12" x14ac:dyDescent="0.35">
      <c r="A12" t="str">
        <v>Groceries</v>
      </c>
      <c r="B12">
        <v>6.99</v>
      </c>
      <c r="D12" t="str">
        <v>Education</v>
      </c>
      <c r="E12">
        <v>0</v>
      </c>
      <c r="F12">
        <v>5</v>
      </c>
      <c r="G12">
        <v>20</v>
      </c>
      <c r="H12">
        <v>15</v>
      </c>
      <c r="I12">
        <f t="shared" si="0"/>
        <v>15</v>
      </c>
    </row>
    <row r="13" spans="1:12" x14ac:dyDescent="0.35">
      <c r="A13" t="str">
        <v>Healthcare</v>
      </c>
      <c r="B13">
        <v>5</v>
      </c>
      <c r="D13" t="str">
        <v>Subscriptions</v>
      </c>
      <c r="E13">
        <v>0</v>
      </c>
      <c r="F13">
        <v>43.980000000000004</v>
      </c>
      <c r="G13">
        <v>40</v>
      </c>
      <c r="H13">
        <v>-3.980000000000004</v>
      </c>
      <c r="I13">
        <f t="shared" si="0"/>
        <v>3.980000000000004</v>
      </c>
    </row>
    <row r="14" spans="1:12" x14ac:dyDescent="0.35">
      <c r="A14" t="str">
        <v>Education</v>
      </c>
      <c r="B14">
        <v>5</v>
      </c>
      <c r="D14" t="str">
        <v xml:space="preserve">Miscellaneous  </v>
      </c>
      <c r="E14">
        <v>0</v>
      </c>
      <c r="F14">
        <v>34.56</v>
      </c>
      <c r="G14">
        <v>50</v>
      </c>
      <c r="H14">
        <v>15.439999999999998</v>
      </c>
      <c r="I14">
        <f t="shared" si="0"/>
        <v>15.439999999999998</v>
      </c>
    </row>
    <row r="16" spans="1:12" x14ac:dyDescent="0.35">
      <c r="D16" t="str" cm="1">
        <f t="array" ref="D16:I26">_xlfn._xlws.SORT(D4:I14,6,-1)</f>
        <v>Debt</v>
      </c>
      <c r="E16">
        <v>0</v>
      </c>
      <c r="F16">
        <v>130</v>
      </c>
      <c r="G16">
        <v>800</v>
      </c>
      <c r="H16">
        <v>670</v>
      </c>
      <c r="I16">
        <v>670</v>
      </c>
    </row>
    <row r="17" spans="4:9" x14ac:dyDescent="0.35">
      <c r="D17" t="str">
        <v>Transportation</v>
      </c>
      <c r="E17">
        <v>0</v>
      </c>
      <c r="F17">
        <v>26.54</v>
      </c>
      <c r="G17">
        <v>500</v>
      </c>
      <c r="H17">
        <v>473.46</v>
      </c>
      <c r="I17">
        <v>473.46</v>
      </c>
    </row>
    <row r="18" spans="4:9" x14ac:dyDescent="0.35">
      <c r="D18" t="str">
        <v>Utilities</v>
      </c>
      <c r="E18">
        <v>0</v>
      </c>
      <c r="F18">
        <v>200</v>
      </c>
      <c r="G18">
        <v>0</v>
      </c>
      <c r="H18">
        <v>-200</v>
      </c>
      <c r="I18">
        <v>200</v>
      </c>
    </row>
    <row r="19" spans="4:9" x14ac:dyDescent="0.35">
      <c r="D19" t="str">
        <v>Housing</v>
      </c>
      <c r="E19">
        <v>0</v>
      </c>
      <c r="F19">
        <v>100</v>
      </c>
      <c r="G19">
        <v>0</v>
      </c>
      <c r="H19">
        <v>-100</v>
      </c>
      <c r="I19">
        <v>100</v>
      </c>
    </row>
    <row r="20" spans="4:9" x14ac:dyDescent="0.35">
      <c r="D20" t="str">
        <v>Groceries</v>
      </c>
      <c r="E20">
        <v>0</v>
      </c>
      <c r="F20">
        <v>6.99</v>
      </c>
      <c r="G20">
        <v>100</v>
      </c>
      <c r="H20">
        <v>93.01</v>
      </c>
      <c r="I20">
        <v>93.01</v>
      </c>
    </row>
    <row r="21" spans="4:9" x14ac:dyDescent="0.35">
      <c r="D21" t="str">
        <v>Leisure</v>
      </c>
      <c r="E21">
        <v>0</v>
      </c>
      <c r="F21">
        <v>131</v>
      </c>
      <c r="G21">
        <v>200</v>
      </c>
      <c r="H21">
        <v>69</v>
      </c>
      <c r="I21">
        <v>69</v>
      </c>
    </row>
    <row r="22" spans="4:9" x14ac:dyDescent="0.35">
      <c r="D22" t="str">
        <v>Healthcare</v>
      </c>
      <c r="E22">
        <v>0</v>
      </c>
      <c r="F22">
        <v>5</v>
      </c>
      <c r="G22">
        <v>50</v>
      </c>
      <c r="H22">
        <v>45</v>
      </c>
      <c r="I22">
        <v>45</v>
      </c>
    </row>
    <row r="23" spans="4:9" x14ac:dyDescent="0.35">
      <c r="D23" t="str">
        <v xml:space="preserve">Miscellaneous  </v>
      </c>
      <c r="E23">
        <v>0</v>
      </c>
      <c r="F23">
        <v>34.56</v>
      </c>
      <c r="G23">
        <v>50</v>
      </c>
      <c r="H23">
        <v>15.439999999999998</v>
      </c>
      <c r="I23">
        <v>15.439999999999998</v>
      </c>
    </row>
    <row r="24" spans="4:9" x14ac:dyDescent="0.35">
      <c r="D24" t="str">
        <v>Education</v>
      </c>
      <c r="E24">
        <v>0</v>
      </c>
      <c r="F24">
        <v>5</v>
      </c>
      <c r="G24">
        <v>20</v>
      </c>
      <c r="H24">
        <v>15</v>
      </c>
      <c r="I24">
        <v>15</v>
      </c>
    </row>
    <row r="25" spans="4:9" x14ac:dyDescent="0.35">
      <c r="D25" t="str">
        <v>Subscriptions</v>
      </c>
      <c r="E25">
        <v>0</v>
      </c>
      <c r="F25">
        <v>43.980000000000004</v>
      </c>
      <c r="G25">
        <v>40</v>
      </c>
      <c r="H25">
        <v>-3.980000000000004</v>
      </c>
      <c r="I25">
        <v>3.980000000000004</v>
      </c>
    </row>
    <row r="26" spans="4:9" x14ac:dyDescent="0.35">
      <c r="D26" t="str">
        <v>Insurance</v>
      </c>
      <c r="E26">
        <v>0</v>
      </c>
      <c r="F26">
        <v>120</v>
      </c>
      <c r="G26">
        <v>120</v>
      </c>
      <c r="H26">
        <v>0</v>
      </c>
      <c r="I26">
        <v>0</v>
      </c>
    </row>
    <row r="27" spans="4:9" x14ac:dyDescent="0.35">
      <c r="E27" t="s">
        <v>21</v>
      </c>
      <c r="F27" t="s">
        <v>11</v>
      </c>
    </row>
    <row r="28" spans="4:9" x14ac:dyDescent="0.35">
      <c r="D28" t="str" cm="1">
        <f t="array" ref="D28:F38">_xlfn.CHOOSECOLS(_xlfn._xlws.SORT(D4:I14,6,-1),1,3,4)</f>
        <v>Debt</v>
      </c>
      <c r="E28">
        <v>130</v>
      </c>
      <c r="F28">
        <v>800</v>
      </c>
    </row>
    <row r="29" spans="4:9" x14ac:dyDescent="0.35">
      <c r="D29" t="str">
        <v>Transportation</v>
      </c>
      <c r="E29">
        <v>26.54</v>
      </c>
      <c r="F29">
        <v>500</v>
      </c>
    </row>
    <row r="30" spans="4:9" x14ac:dyDescent="0.35">
      <c r="D30" t="str">
        <v>Utilities</v>
      </c>
      <c r="E30">
        <v>200</v>
      </c>
      <c r="F30">
        <v>0</v>
      </c>
    </row>
    <row r="31" spans="4:9" x14ac:dyDescent="0.35">
      <c r="D31" t="str">
        <v>Housing</v>
      </c>
      <c r="E31">
        <v>100</v>
      </c>
      <c r="F31">
        <v>0</v>
      </c>
    </row>
    <row r="32" spans="4:9" x14ac:dyDescent="0.35">
      <c r="D32" t="str">
        <v>Groceries</v>
      </c>
      <c r="E32">
        <v>6.99</v>
      </c>
      <c r="F32">
        <v>100</v>
      </c>
    </row>
    <row r="33" spans="4:6" x14ac:dyDescent="0.35">
      <c r="D33" t="str">
        <v>Leisure</v>
      </c>
      <c r="E33">
        <v>131</v>
      </c>
      <c r="F33">
        <v>200</v>
      </c>
    </row>
    <row r="34" spans="4:6" x14ac:dyDescent="0.35">
      <c r="D34" t="str">
        <v>Healthcare</v>
      </c>
      <c r="E34">
        <v>5</v>
      </c>
      <c r="F34">
        <v>50</v>
      </c>
    </row>
    <row r="35" spans="4:6" x14ac:dyDescent="0.35">
      <c r="D35" t="str">
        <v xml:space="preserve">Miscellaneous  </v>
      </c>
      <c r="E35">
        <v>34.56</v>
      </c>
      <c r="F35">
        <v>50</v>
      </c>
    </row>
    <row r="36" spans="4:6" x14ac:dyDescent="0.35">
      <c r="D36" t="str">
        <v>Education</v>
      </c>
      <c r="E36">
        <v>5</v>
      </c>
      <c r="F36">
        <v>20</v>
      </c>
    </row>
    <row r="37" spans="4:6" x14ac:dyDescent="0.35">
      <c r="D37" t="str">
        <v>Subscriptions</v>
      </c>
      <c r="E37">
        <v>43.980000000000004</v>
      </c>
      <c r="F37">
        <v>40</v>
      </c>
    </row>
    <row r="38" spans="4:6" x14ac:dyDescent="0.35">
      <c r="D38" t="str">
        <v>Insurance</v>
      </c>
      <c r="E38">
        <v>120</v>
      </c>
      <c r="F3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Transactions</vt:lpstr>
      <vt:lpstr>Budget</vt:lpstr>
      <vt:lpstr>Subscriptions</vt:lpstr>
      <vt:lpstr>Monthly Summary Sheet</vt:lpstr>
      <vt:lpstr>Charts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Meyers</dc:creator>
  <cp:lastModifiedBy>Liam Meyers</cp:lastModifiedBy>
  <dcterms:created xsi:type="dcterms:W3CDTF">2015-06-05T18:17:20Z</dcterms:created>
  <dcterms:modified xsi:type="dcterms:W3CDTF">2026-07-30T02:31:14Z</dcterms:modified>
</cp:coreProperties>
</file>